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7.xml.rels" ContentType="application/vnd.openxmlformats-package.relationships+xml"/>
  <Override PartName="/xl/worksheets/_rels/sheet8.xml.rels" ContentType="application/vnd.openxmlformats-package.relationship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_rels/sheet10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comments10.xml" ContentType="application/vnd.openxmlformats-officedocument.spreadsheetml.comment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4.vml" ContentType="application/vnd.openxmlformats-officedocument.vmlDrawing"/>
  <Override PartName="/xl/drawings/_rels/drawing1.xml.rels" ContentType="application/vnd.openxmlformats-package.relationships+xml"/>
  <Override PartName="/xl/drawings/vmlDrawing5.vml" ContentType="application/vnd.openxmlformats-officedocument.vmlDrawi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omments5.xml" ContentType="application/vnd.openxmlformats-officedocument.spreadsheetml.comments+xml"/>
  <Override PartName="/xl/comments8.xml" ContentType="application/vnd.openxmlformats-officedocument.spreadsheetml.comments+xml"/>
  <Override PartName="/xl/comments11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Painel" sheetId="2" state="visible" r:id="rId4"/>
    <sheet name="Premissas" sheetId="3" state="visible" r:id="rId5"/>
    <sheet name="Investimento Inicial" sheetId="4" state="visible" r:id="rId6"/>
    <sheet name="Funil de Vendas" sheetId="5" state="visible" r:id="rId7"/>
    <sheet name="Receita e Clientes" sheetId="6" state="visible" r:id="rId8"/>
    <sheet name="Custos Fixos" sheetId="7" state="visible" r:id="rId9"/>
    <sheet name="Custos Variáveis" sheetId="8" state="visible" r:id="rId10"/>
    <sheet name="Custo Unitário e Preço" sheetId="9" state="visible" r:id="rId11"/>
    <sheet name="Tributação" sheetId="10" state="visible" r:id="rId12"/>
    <sheet name="DRE Mensal" sheetId="11" state="visible" r:id="rId13"/>
    <sheet name="DRE Anual" sheetId="12" state="visible" r:id="rId14"/>
    <sheet name="Fluxo de Caixa" sheetId="13" state="visible" r:id="rId15"/>
    <sheet name="DRE x Caixa" sheetId="14" state="visible" r:id="rId16"/>
    <sheet name="Indicadores" sheetId="15" state="visible" r:id="rId17"/>
    <sheet name="Cenários" sheetId="16" state="visible" r:id="rId18"/>
    <sheet name="Comparáveis" sheetId="17" state="visible" r:id="rId1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7" authorId="0">
      <text>
        <r>
          <rPr>
            <sz val="10"/>
            <rFont val="Arial"/>
            <family val="2"/>
          </rPr>
          <t xml:space="preserve">Calibrado para reproduzir os marcos da Seção 20: 3 clientes no M4, 6 no M6, 10 no M9, 16 no M12, 28 no M18 e 40 no M24.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2" authorId="0">
      <text>
        <r>
          <rPr>
            <sz val="10"/>
            <rFont val="Arial"/>
            <family val="2"/>
          </rPr>
          <t xml:space="preserve">Fase 1 remota; depois, posições em coworking.</t>
        </r>
      </text>
    </comment>
    <comment ref="B13" authorId="0">
      <text>
        <r>
          <rPr>
            <sz val="10"/>
            <rFont val="Arial"/>
            <family val="2"/>
          </rPr>
          <t xml:space="preserve">Incluído no coworking.</t>
        </r>
      </text>
    </comment>
    <comment ref="B14" authorId="0">
      <text>
        <r>
          <rPr>
            <sz val="10"/>
            <rFont val="Arial"/>
            <family val="2"/>
          </rPr>
          <t xml:space="preserve">Incluída no coworking.</t>
        </r>
      </text>
    </comment>
    <comment ref="B15" authorId="0">
      <text>
        <r>
          <rPr>
            <sz val="10"/>
            <rFont val="Arial"/>
            <family val="2"/>
          </rPr>
          <t xml:space="preserve">Incluída no coworking.</t>
        </r>
      </text>
    </comment>
    <comment ref="B18" authorId="0">
      <text>
        <r>
          <rPr>
            <sz val="10"/>
            <rFont val="Arial"/>
            <family val="2"/>
          </rPr>
          <t xml:space="preserve">Incluído no coworking.</t>
        </r>
      </text>
    </comment>
    <comment ref="B21" authorId="0">
      <text>
        <r>
          <rPr>
            <sz val="10"/>
            <rFont val="Arial"/>
            <family val="2"/>
          </rPr>
          <t xml:space="preserve">Recolhido dentro do DAS: é custo variável (aba Tributação).</t>
        </r>
      </text>
    </comment>
    <comment ref="B22" authorId="0">
      <text>
        <r>
          <rPr>
            <sz val="10"/>
            <rFont val="Arial"/>
            <family val="2"/>
          </rPr>
          <t xml:space="preserve">Verba fixa; a aquisição de cada cliente (CAC) é separada.</t>
        </r>
      </text>
    </comment>
    <comment ref="B23" authorId="0">
      <text>
        <r>
          <rPr>
            <sz val="10"/>
            <rFont val="Arial"/>
            <family val="2"/>
          </rPr>
          <t xml:space="preserve">Sem veículo: não há IPVA.</t>
        </r>
      </text>
    </comment>
    <comment ref="B24" authorId="0">
      <text>
        <r>
          <rPr>
            <sz val="10"/>
            <rFont val="Arial"/>
            <family val="2"/>
          </rPr>
          <t xml:space="preserve">Escritório contábil para Simples Nacional.</t>
        </r>
      </text>
    </comment>
    <comment ref="B25" authorId="0">
      <text>
        <r>
          <rPr>
            <sz val="10"/>
            <rFont val="Arial"/>
            <family val="2"/>
          </rPr>
          <t xml:space="preserve">Servidor Node + banco PostgreSQL (Supabase).</t>
        </r>
      </text>
    </comment>
    <comment ref="B27" authorId="0">
      <text>
        <r>
          <rPr>
            <sz val="10"/>
            <rFont val="Arial"/>
            <family val="2"/>
          </rPr>
          <t xml:space="preserve">Reserva para gastos não previstos.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25" authorId="0">
      <text>
        <r>
          <rPr>
            <sz val="10"/>
            <rFont val="Arial"/>
            <family val="2"/>
          </rPr>
          <t xml:space="preserve">Verba de marketing de performance, eventos e visitas comerciais por cliente conquistado.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8" authorId="0">
      <text>
        <r>
          <rPr>
            <sz val="10"/>
            <rFont val="Arial"/>
            <family val="2"/>
          </rPr>
          <t xml:space="preserve">No primeiro ano de atividade, a lei manda proporcionalizar: média dos meses anteriores × 12 (LC 123, art. 18, §2º).</t>
        </r>
      </text>
    </comment>
    <comment ref="B26" authorId="0">
      <text>
        <r>
          <rPr>
            <sz val="10"/>
            <rFont val="Arial"/>
            <family val="2"/>
          </rPr>
          <t xml:space="preserve">Simplificação: folha do mês ≥ 28% da receita média mensal dos últimos 12 meses.</t>
        </r>
      </text>
    </comment>
    <comment ref="B29" authorId="0">
      <text>
        <r>
          <rPr>
            <sz val="10"/>
            <rFont val="Arial"/>
            <family val="2"/>
          </rPr>
          <t xml:space="preserve">Tabela mensal 2026 com o redutor da Lei 15.270/2025 (isenção até R$ 5 mil). Simplificado: sem dependentes.</t>
        </r>
      </text>
    </comment>
  </commentList>
</comments>
</file>

<file path=xl/comments1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23" authorId="0">
      <text>
        <r>
          <rPr>
            <sz val="10"/>
            <rFont val="Arial"/>
            <family val="2"/>
          </rPr>
          <t xml:space="preserve">No Simples Nacional, IRPJ e CSLL já estão dentro do DAS: não há linha separada de imposto de renda.</t>
        </r>
      </text>
    </comment>
  </commentList>
</comments>
</file>

<file path=xl/sharedStrings.xml><?xml version="1.0" encoding="utf-8"?>
<sst xmlns="http://schemas.openxmlformats.org/spreadsheetml/2006/main" count="958" uniqueCount="653">
  <si>
    <t xml:space="preserve">SkillWay — Planejamento Financeiro (versão 2)</t>
  </si>
  <si>
    <t xml:space="preserve">Habilidades que abrem caminhos · Empreendedorismo · Gestão de TI · IFSP Catanduva</t>
  </si>
  <si>
    <t xml:space="preserve">Esta planilha segue o roteiro da aula de Planejamento Financeiro (Profª Drª Vanise R. Z. Ralio): investimento → custos → preço → DRE → fluxo de caixa → indicadores. Os números são fictícios, mas calibrados em empresas reais do setor (aba Comparáveis). Mude qualquer valor azul na aba Premissas e tudo recalcula.</t>
  </si>
  <si>
    <t xml:space="preserve">Aba</t>
  </si>
  <si>
    <t xml:space="preserve">Slide da aula</t>
  </si>
  <si>
    <t xml:space="preserve">O que mostra</t>
  </si>
  <si>
    <t xml:space="preserve">Painel</t>
  </si>
  <si>
    <t xml:space="preserve">—</t>
  </si>
  <si>
    <t xml:space="preserve">Resumo do cenário ativo e os 8 gráficos do plano.</t>
  </si>
  <si>
    <t xml:space="preserve">Premissas</t>
  </si>
  <si>
    <t xml:space="preserve">4 (projeção de vendas)</t>
  </si>
  <si>
    <t xml:space="preserve">Todas as entradas, com fonte. Seletor de cenário.</t>
  </si>
  <si>
    <t xml:space="preserve">Investimento Inicial</t>
  </si>
  <si>
    <t xml:space="preserve">5 e 6</t>
  </si>
  <si>
    <t xml:space="preserve">Pré-operacionais + fixos + capital de giro; origem dos recursos; depreciação.</t>
  </si>
  <si>
    <t xml:space="preserve">Funil de Vendas</t>
  </si>
  <si>
    <t xml:space="preserve">4</t>
  </si>
  <si>
    <t xml:space="preserve">Leads → clientes, mês a mês.</t>
  </si>
  <si>
    <t xml:space="preserve">Receita e Clientes</t>
  </si>
  <si>
    <t xml:space="preserve">Clientes, colaboradores atendidos, MRR e ARR; conferência com a documentação.</t>
  </si>
  <si>
    <t xml:space="preserve">Custos Fixos</t>
  </si>
  <si>
    <t xml:space="preserve">7</t>
  </si>
  <si>
    <t xml:space="preserve">Tabela do slide por fase, equipe CLT e projeção mensal.</t>
  </si>
  <si>
    <t xml:space="preserve">Custos Variáveis</t>
  </si>
  <si>
    <t xml:space="preserve">8</t>
  </si>
  <si>
    <t xml:space="preserve">Ficha técnica por cliente e por colaborador e projeção mensal.</t>
  </si>
  <si>
    <t xml:space="preserve">Custo Unitário e Preço</t>
  </si>
  <si>
    <t xml:space="preserve">9</t>
  </si>
  <si>
    <t xml:space="preserve">Custo unitário (MDO + MP + fixo) e preço calculado com impostos e lucro.</t>
  </si>
  <si>
    <t xml:space="preserve">Tributação</t>
  </si>
  <si>
    <t xml:space="preserve">11 (DAS)</t>
  </si>
  <si>
    <t xml:space="preserve">Simples Nacional: RBT12, alíquota efetiva e simulação do Fator R.</t>
  </si>
  <si>
    <t xml:space="preserve">DRE Mensal</t>
  </si>
  <si>
    <t xml:space="preserve">10 e 11</t>
  </si>
  <si>
    <t xml:space="preserve">Resultado mês a mês em regime de competência.</t>
  </si>
  <si>
    <t xml:space="preserve">DRE Anual</t>
  </si>
  <si>
    <t xml:space="preserve">11</t>
  </si>
  <si>
    <t xml:space="preserve">O quadro do slide com R$ e %, Ano 1 × Ano 2.</t>
  </si>
  <si>
    <t xml:space="preserve">Fluxo de Caixa</t>
  </si>
  <si>
    <t xml:space="preserve">12 e 13</t>
  </si>
  <si>
    <t xml:space="preserve">Entradas e saídas em regime de caixa, de M0 a M24.</t>
  </si>
  <si>
    <t xml:space="preserve">DRE x Caixa</t>
  </si>
  <si>
    <t xml:space="preserve">14</t>
  </si>
  <si>
    <t xml:space="preserve">Por que lucro e caixa são diferentes.</t>
  </si>
  <si>
    <t xml:space="preserve">Indicadores</t>
  </si>
  <si>
    <t xml:space="preserve">15</t>
  </si>
  <si>
    <t xml:space="preserve">Rentabilidade, lucratividade, ponto de equilíbrio, retorno, LTV/CAC.</t>
  </si>
  <si>
    <t xml:space="preserve">Cenários</t>
  </si>
  <si>
    <t xml:space="preserve">Pessimista × base × otimista.</t>
  </si>
  <si>
    <t xml:space="preserve">Comparáveis</t>
  </si>
  <si>
    <t xml:space="preserve">Empresas reais usadas como referência.</t>
  </si>
  <si>
    <t xml:space="preserve">Cores</t>
  </si>
  <si>
    <t xml:space="preserve">Texto azul: premissa que você pode mudar</t>
  </si>
  <si>
    <t xml:space="preserve">Texto preto: fórmula</t>
  </si>
  <si>
    <t xml:space="preserve">Texto verde: valor puxado de outra aba</t>
  </si>
  <si>
    <t xml:space="preserve">Fundo amarelo: alavanca principal</t>
  </si>
  <si>
    <t xml:space="preserve">Fundo lilás: resultado-chave</t>
  </si>
  <si>
    <t xml:space="preserve">O que mudou em relação à versão anterior</t>
  </si>
  <si>
    <t xml:space="preserve">Item</t>
  </si>
  <si>
    <t xml:space="preserve">Versão anterior (Seção 20)</t>
  </si>
  <si>
    <t xml:space="preserve">Agora</t>
  </si>
  <si>
    <t xml:space="preserve">Por quê</t>
  </si>
  <si>
    <t xml:space="preserve">Receita em 24 meses</t>
  </si>
  <si>
    <t xml:space="preserve">mesma base</t>
  </si>
  <si>
    <t xml:space="preserve">Funil, preço e marcos de clientes foram mantidos (cenário Base).</t>
  </si>
  <si>
    <t xml:space="preserve">Resultado do Ano 1</t>
  </si>
  <si>
    <t xml:space="preserve">Antes era o resultado sem impostos. Agora entram DAS, inadimplência, tarifas, depreciação, despesas pré-operacionais e rendimentos.</t>
  </si>
  <si>
    <t xml:space="preserve">Investimento inicial</t>
  </si>
  <si>
    <t xml:space="preserve">Antes só os 3 meses de custo fixo. Agora segue o slide 6: pré-operacionais + fixos + capital de giro + reserva para vendas a prazo.</t>
  </si>
  <si>
    <t xml:space="preserve">Primeiro mês positivo</t>
  </si>
  <si>
    <t xml:space="preserve">Continua logo após o piloto.</t>
  </si>
  <si>
    <t xml:space="preserve">Impostos</t>
  </si>
  <si>
    <t xml:space="preserve">não calculados</t>
  </si>
  <si>
    <t xml:space="preserve">Simples Nacional, Anexo V, com alíquota efetiva pela RBT12 (aba Tributação).</t>
  </si>
  <si>
    <t xml:space="preserve">Fluxo de caixa</t>
  </si>
  <si>
    <t xml:space="preserve">não havia</t>
  </si>
  <si>
    <t xml:space="preserve">Agora em regime de caixa, com prazos de recebimento e pagamento. Valor ao lado: menor saldo do período.</t>
  </si>
  <si>
    <t xml:space="preserve">SkillWay — Painel do plano financeiro</t>
  </si>
  <si>
    <t xml:space="preserve">Resumo do cenário ativo. Todos os números vêm das outras abas.</t>
  </si>
  <si>
    <t xml:space="preserve">Cenário ativo</t>
  </si>
  <si>
    <t xml:space="preserve">Lucro líquido — Ano 1</t>
  </si>
  <si>
    <t xml:space="preserve">Lucro líquido — Ano 2</t>
  </si>
  <si>
    <t xml:space="preserve">Margem de contribuição (24m)</t>
  </si>
  <si>
    <t xml:space="preserve">Ponto de equilíbrio — 1º mês positivo</t>
  </si>
  <si>
    <t xml:space="preserve">Retorno do investimento</t>
  </si>
  <si>
    <t xml:space="preserve">Clientes ativos no M24</t>
  </si>
  <si>
    <t xml:space="preserve">Dados: composição dos gastos — Ano 2</t>
  </si>
  <si>
    <t xml:space="preserve">Processamento de IA</t>
  </si>
  <si>
    <t xml:space="preserve">DAS (impostos)</t>
  </si>
  <si>
    <t xml:space="preserve">Comissões e tarifas</t>
  </si>
  <si>
    <t xml:space="preserve">Inadimplência</t>
  </si>
  <si>
    <t xml:space="preserve">Mão de obra</t>
  </si>
  <si>
    <t xml:space="preserve">Demais custos fixos</t>
  </si>
  <si>
    <t xml:space="preserve">Aquisição de clientes</t>
  </si>
  <si>
    <t xml:space="preserve">Depreciação</t>
  </si>
  <si>
    <t xml:space="preserve">Premissas do modelo</t>
  </si>
  <si>
    <t xml:space="preserve">Todas as entradas em um só lugar. Texto azul = premissa editável · fundo amarelo = alavanca principal · as demais abas são fórmulas.</t>
  </si>
  <si>
    <t xml:space="preserve">Premissa</t>
  </si>
  <si>
    <t xml:space="preserve">Valor</t>
  </si>
  <si>
    <t xml:space="preserve">Unidade</t>
  </si>
  <si>
    <t xml:space="preserve">Fonte / justificativa</t>
  </si>
  <si>
    <t xml:space="preserve">CENÁRIO ATIVO</t>
  </si>
  <si>
    <t xml:space="preserve">Cenário (1 = Pessimista · 2 = Base · 3 = Otimista)</t>
  </si>
  <si>
    <t xml:space="preserve">seletor</t>
  </si>
  <si>
    <t xml:space="preserve">Troque para 1 ou 3 e todo o arquivo recalcula. A aba Cenários guarda a foto dos três resultados.</t>
  </si>
  <si>
    <t xml:space="preserve">Alavancas por cenário</t>
  </si>
  <si>
    <t xml:space="preserve">Pessimista</t>
  </si>
  <si>
    <t xml:space="preserve">Base</t>
  </si>
  <si>
    <t xml:space="preserve">Otimista</t>
  </si>
  <si>
    <t xml:space="preserve">Multiplicador de leads prospectados</t>
  </si>
  <si>
    <t xml:space="preserve">x</t>
  </si>
  <si>
    <t xml:space="preserve">Pessimista: prospecção 40% abaixo do planejado; otimista: 30% acima.</t>
  </si>
  <si>
    <t xml:space="preserve">Multiplicador do preço médio</t>
  </si>
  <si>
    <t xml:space="preserve">Pessimista: desconto médio de 8% para fechar contratos.</t>
  </si>
  <si>
    <t xml:space="preserve">Cancelamento mensal a partir da renovação (M13+)</t>
  </si>
  <si>
    <t xml:space="preserve">% a.m.</t>
  </si>
  <si>
    <t xml:space="preserve">Contratos anuais: só há saída na renovação. Base 0% (meta do plano); pessimista 2% a.m. no Ano 2 (mediana pré-seed BR é 7,5%, mas medida sobre PME com contrato mensal).</t>
  </si>
  <si>
    <t xml:space="preserve">Multiplicador do CAC</t>
  </si>
  <si>
    <t xml:space="preserve">Pessimista: aquisição 30% mais cara.</t>
  </si>
  <si>
    <t xml:space="preserve">PRODUTO E PREÇO (Seção 19 da documentação)</t>
  </si>
  <si>
    <t xml:space="preserve">Colaboradores médios por cliente</t>
  </si>
  <si>
    <t xml:space="preserve">colaboradores</t>
  </si>
  <si>
    <t xml:space="preserve">Média entre os planos (Starter 100–300, Growth 301–800, Enterprise 801–2.000), ponderada pelo perfil de cliente-alvo.</t>
  </si>
  <si>
    <t xml:space="preserve">Preço médio por colaborador/mês (cenário base)</t>
  </si>
  <si>
    <t xml:space="preserve">R$/colab/mês</t>
  </si>
  <si>
    <t xml:space="preserve">Média ponderada de Starter R$29, Growth R$24 e Enterprise R$19 — o mesmo R$25 usado no SOM (Seção 5).</t>
  </si>
  <si>
    <t xml:space="preserve">Preço médio aplicado no cenário</t>
  </si>
  <si>
    <t xml:space="preserve">Fórmula: preço base × multiplicador do cenário.</t>
  </si>
  <si>
    <t xml:space="preserve">Ticket médio mensal por cliente (ARPA)</t>
  </si>
  <si>
    <t xml:space="preserve">R$/cliente/mês</t>
  </si>
  <si>
    <t xml:space="preserve">Colaboradores médios × preço por colaborador.</t>
  </si>
  <si>
    <t xml:space="preserve">Preço do plano Starter</t>
  </si>
  <si>
    <t xml:space="preserve">Tabela de planos do sistema (js/catalog.js) e Seção 19.</t>
  </si>
  <si>
    <t xml:space="preserve">Preço do plano Growth</t>
  </si>
  <si>
    <t xml:space="preserve">Idem.</t>
  </si>
  <si>
    <t xml:space="preserve">Preço do plano Enterprise</t>
  </si>
  <si>
    <t xml:space="preserve">FUNIL DE VENDAS (Seção 19)</t>
  </si>
  <si>
    <t xml:space="preserve">Lead → lead qualificado</t>
  </si>
  <si>
    <t xml:space="preserve">%</t>
  </si>
  <si>
    <t xml:space="preserve">Referência de outbound B2B para PME.</t>
  </si>
  <si>
    <t xml:space="preserve">Qualificado → demonstração</t>
  </si>
  <si>
    <t xml:space="preserve">Demonstração → proposta</t>
  </si>
  <si>
    <t xml:space="preserve">Proposta → cliente fechado</t>
  </si>
  <si>
    <t xml:space="preserve">Conversão geral (lead → cliente)</t>
  </si>
  <si>
    <t xml:space="preserve">100 leads/mês = 2 clientes/mês, como na Seção 19.</t>
  </si>
  <si>
    <t xml:space="preserve">PILOTO E FASES</t>
  </si>
  <si>
    <t xml:space="preserve">Clientes-piloto (sem cobrança)</t>
  </si>
  <si>
    <t xml:space="preserve">clientes</t>
  </si>
  <si>
    <t xml:space="preserve">Piloto com 2 a 3 empresas parceiras (Seção 19); adotado 3.</t>
  </si>
  <si>
    <t xml:space="preserve">Mês em que o piloto vira cliente pagante</t>
  </si>
  <si>
    <t xml:space="preserve">mês</t>
  </si>
  <si>
    <t xml:space="preserve">Piloto roda do M1 ao M3.</t>
  </si>
  <si>
    <t xml:space="preserve">Último mês da Fase 1 · Piloto</t>
  </si>
  <si>
    <t xml:space="preserve">Fases da Seção 19.</t>
  </si>
  <si>
    <t xml:space="preserve">Último mês da Fase 2 · Early adopters</t>
  </si>
  <si>
    <t xml:space="preserve">Último mês da Fase 3a · Scale inicial</t>
  </si>
  <si>
    <t xml:space="preserve">A partir do mês seguinte: Fase 3b · Scale maduro.</t>
  </si>
  <si>
    <t xml:space="preserve">Primeiro mês em que pode haver cancelamento</t>
  </si>
  <si>
    <t xml:space="preserve">Renovação dos contratos anuais.</t>
  </si>
  <si>
    <t xml:space="preserve">CUSTOS VARIÁVEIS E DE AQUISIÇÃO</t>
  </si>
  <si>
    <t xml:space="preserve">CAC por cliente novo vindo do funil</t>
  </si>
  <si>
    <t xml:space="preserve">R$/cliente</t>
  </si>
  <si>
    <t xml:space="preserve">Piso da faixa PME (R$3–15 mil) dos benchmarks de SaaS B2B brasileiro. Clientes-piloto não têm CAC.</t>
  </si>
  <si>
    <t xml:space="preserve">CAC aplicado no cenário</t>
  </si>
  <si>
    <t xml:space="preserve">CAC base × multiplicador do cenário.</t>
  </si>
  <si>
    <t xml:space="preserve">Processamento de IA por colaborador atendido/mês</t>
  </si>
  <si>
    <t xml:space="preserve">Chamadas à API do Claude (diagnóstico, leitura de perfil, mentor) + banco. Inclui os clientes-piloto, que usam sem pagar.</t>
  </si>
  <si>
    <t xml:space="preserve">Comissão de vendas sobre a receita</t>
  </si>
  <si>
    <t xml:space="preserve">% da receita</t>
  </si>
  <si>
    <t xml:space="preserve">Paga no mês seguinte ao da receita.</t>
  </si>
  <si>
    <t xml:space="preserve">Tarifa de cobrança por fatura (boleto/Pix)</t>
  </si>
  <si>
    <t xml:space="preserve">Uma fatura por cliente por mês (cobrança B2B, sem cartão).</t>
  </si>
  <si>
    <t xml:space="preserve">Inadimplência (perda sobre a receita)</t>
  </si>
  <si>
    <t xml:space="preserve">Parte da receita faturada que não é recebida.</t>
  </si>
  <si>
    <t xml:space="preserve">PRAZOS E FINANÇAS</t>
  </si>
  <si>
    <t xml:space="preserve">Prazo de recebimento das faturas</t>
  </si>
  <si>
    <t xml:space="preserve">30 dias</t>
  </si>
  <si>
    <t xml:space="preserve">estrutura</t>
  </si>
  <si>
    <t xml:space="preserve">Fatura emitida no mês, vencimento em 30 dias: a receita de março entra no caixa em abril (slide 12). Salários, DAS e comissões também são pagos no mês seguinte. É a estrutura das fórmulas do Fluxo de Caixa, não uma alavanca.</t>
  </si>
  <si>
    <t xml:space="preserve">Tarifas bancárias (conta PJ)</t>
  </si>
  <si>
    <t xml:space="preserve">R$/mês</t>
  </si>
  <si>
    <t xml:space="preserve">Pacote de conta PJ com emissão de boletos.</t>
  </si>
  <si>
    <t xml:space="preserve">Rendimento líquido do caixa aplicado</t>
  </si>
  <si>
    <t xml:space="preserve">Estimativa conservadora para CDB/Tesouro com liquidez diária, já descontado o IR. Confira a taxa do momento.</t>
  </si>
  <si>
    <t xml:space="preserve">Encargos e provisões sobre salários (CLT)</t>
  </si>
  <si>
    <t xml:space="preserve">% do salário</t>
  </si>
  <si>
    <t xml:space="preserve">FGTS 8% + 13º + férias e 1/3 + FGTS sobre provisões. A contribuição patronal ao INSS já está dentro do DAS (Simples).</t>
  </si>
  <si>
    <t xml:space="preserve">IMPOSTOS (Simples Nacional — aba Tributação)</t>
  </si>
  <si>
    <t xml:space="preserve">Fator R mínimo para o Anexo III</t>
  </si>
  <si>
    <t xml:space="preserve">LC 123/2006 e Resolução CGSN 140/2018: folha de 12 meses ÷ receita de 12 meses ≥ 28% → Anexo III; abaixo → Anexo V.</t>
  </si>
  <si>
    <t xml:space="preserve">Número de sócios</t>
  </si>
  <si>
    <t xml:space="preserve">pessoas</t>
  </si>
  <si>
    <t xml:space="preserve">Equipe fundadora do projeto.</t>
  </si>
  <si>
    <t xml:space="preserve">Teto do INSS 2026</t>
  </si>
  <si>
    <t xml:space="preserve">Contribuição do sócio sobre pró-labore: 11% até o teto.</t>
  </si>
  <si>
    <t xml:space="preserve">INSS do sócio sobre pró-labore</t>
  </si>
  <si>
    <t xml:space="preserve">Contribuinte individual com retenção pela empresa.</t>
  </si>
  <si>
    <t xml:space="preserve">INVESTIMENTO E DEPRECIAÇÃO</t>
  </si>
  <si>
    <t xml:space="preserve">Meses de custo fixo no capital de giro</t>
  </si>
  <si>
    <t xml:space="preserve">meses</t>
  </si>
  <si>
    <t xml:space="preserve">Slide 6: capital de giro de 3 a 6 meses. Adotado 3: a receita começa no M4.</t>
  </si>
  <si>
    <t xml:space="preserve">Meses de custo da Fase 2 reservados para vendas a prazo</t>
  </si>
  <si>
    <t xml:space="preserve">Cobre o primeiro mês de faturamento, que só entra no caixa no mês seguinte.</t>
  </si>
  <si>
    <t xml:space="preserve">Vida útil de máquinas e equipamentos</t>
  </si>
  <si>
    <t xml:space="preserve">Computadores: 20% ao ano (5 anos).</t>
  </si>
  <si>
    <t xml:space="preserve">Vida útil de serviços de implantação (intangível)</t>
  </si>
  <si>
    <t xml:space="preserve">Amortização em 5 anos.</t>
  </si>
  <si>
    <t xml:space="preserve">META (Seção 5 — SOM)</t>
  </si>
  <si>
    <t xml:space="preserve">Clientes ativos ao fim de 24 meses</t>
  </si>
  <si>
    <t xml:space="preserve">SOM: 40 empresas em São Paulo.</t>
  </si>
  <si>
    <t xml:space="preserve">Vida média estimada de um cliente (para o LTV)</t>
  </si>
  <si>
    <t xml:space="preserve">Contrato anual renovado em média 3 vezes.</t>
  </si>
  <si>
    <t xml:space="preserve">Lucro desejado na formação do preço</t>
  </si>
  <si>
    <t xml:space="preserve">% do preço</t>
  </si>
  <si>
    <t xml:space="preserve">Usado na aba Custo Unitário e Preço (fórmula do slide 9).</t>
  </si>
  <si>
    <t xml:space="preserve">Necessidade de investimentos</t>
  </si>
  <si>
    <t xml:space="preserve">Modelo do slide 6: despesas pré-operacionais + investimentos fixos + capital de giro.</t>
  </si>
  <si>
    <t xml:space="preserve">Descrição</t>
  </si>
  <si>
    <t xml:space="preserve">R$ total</t>
  </si>
  <si>
    <t xml:space="preserve">% do total</t>
  </si>
  <si>
    <t xml:space="preserve">Observação</t>
  </si>
  <si>
    <t xml:space="preserve">1 - Despesas pré-operacionais</t>
  </si>
  <si>
    <t xml:space="preserve">Gastos com pesquisa de mercado</t>
  </si>
  <si>
    <t xml:space="preserve">Questionário de validação (22 respostas) e entrevistas: impulsionamento e brindes.</t>
  </si>
  <si>
    <t xml:space="preserve">Marca / empresa / publicidade</t>
  </si>
  <si>
    <t xml:space="preserve">Identidade visual, site institucional e material de lançamento.</t>
  </si>
  <si>
    <t xml:space="preserve">Registro da marca (INPI)</t>
  </si>
  <si>
    <t xml:space="preserve">Pedido + concessão com desconto para ME. Conferir a tabela de retribuições vigente do INPI.</t>
  </si>
  <si>
    <t xml:space="preserve">Projeto técnico (contrato SaaS, termos de uso e LGPD)</t>
  </si>
  <si>
    <t xml:space="preserve">No lugar de "engenheiro/projeto técnico": assessoria jurídica para contrato e privacidade de dados.</t>
  </si>
  <si>
    <t xml:space="preserve">Registro, alvarás e licenças</t>
  </si>
  <si>
    <t xml:space="preserve">Abertura na Junta Comercial de SP, alvará municipal e certificado digital e-CNPJ.</t>
  </si>
  <si>
    <t xml:space="preserve">Subtotal 1</t>
  </si>
  <si>
    <t xml:space="preserve">2 - Investimentos fixos</t>
  </si>
  <si>
    <t xml:space="preserve">Instalações (construção, reforma)</t>
  </si>
  <si>
    <t xml:space="preserve">Operação remota e em coworking: não há reforma.</t>
  </si>
  <si>
    <t xml:space="preserve">Máquinas e equipamentos</t>
  </si>
  <si>
    <t xml:space="preserve">Notebook para demonstrações e suporte, monitor e headset. Os sócios usam os próprios computadores.</t>
  </si>
  <si>
    <t xml:space="preserve">Móveis e utensílios</t>
  </si>
  <si>
    <t xml:space="preserve">Incluídos no coworking.</t>
  </si>
  <si>
    <t xml:space="preserve">Serviços — implantação da plataforma (domínio, e-mail, ambiente de produção)</t>
  </si>
  <si>
    <t xml:space="preserve">O MVP é desenvolvido pela equipe; aqui entra só a configuração do ambiente.</t>
  </si>
  <si>
    <t xml:space="preserve">Veículos</t>
  </si>
  <si>
    <t xml:space="preserve">Não há.</t>
  </si>
  <si>
    <t xml:space="preserve">Subtotal 2</t>
  </si>
  <si>
    <t xml:space="preserve">3 - Capital de giro (3 a 6 meses)</t>
  </si>
  <si>
    <t xml:space="preserve">Estoque de materiais diretos</t>
  </si>
  <si>
    <t xml:space="preserve">SaaS: não há estoque.</t>
  </si>
  <si>
    <t xml:space="preserve">Custo fixo inicial</t>
  </si>
  <si>
    <t xml:space="preserve">      Água, luz, internet</t>
  </si>
  <si>
    <t xml:space="preserve">Custo da Fase 1 × meses de capital de giro.</t>
  </si>
  <si>
    <t xml:space="preserve">      Aluguel, condomínio</t>
  </si>
  <si>
    <t xml:space="preserve">      Limpeza e conservação</t>
  </si>
  <si>
    <t xml:space="preserve">      Seguros</t>
  </si>
  <si>
    <t xml:space="preserve">      Mão de obra indireta com encargos</t>
  </si>
  <si>
    <t xml:space="preserve">Idem (sem contratados na Fase 1).</t>
  </si>
  <si>
    <t xml:space="preserve">      Outros (nuvem, ferramentas, contabilidade, marketing...)</t>
  </si>
  <si>
    <t xml:space="preserve">Reserva de capital para suporte de vendas a prazo</t>
  </si>
  <si>
    <t xml:space="preserve">Um mês de custo da Fase 2: a primeira receita (M4) só entra no caixa no M5.</t>
  </si>
  <si>
    <t xml:space="preserve">Subtotal 3</t>
  </si>
  <si>
    <t xml:space="preserve">TOTAL (1 + 2 + 3)</t>
  </si>
  <si>
    <t xml:space="preserve">Origem dos recursos</t>
  </si>
  <si>
    <t xml:space="preserve">Recursos próprios (aporte dos sócios) — %</t>
  </si>
  <si>
    <t xml:space="preserve">Slide 5: capital próprio ou de terceiros. Com investimento baixo, o plano é 100% próprio, sem juros.</t>
  </si>
  <si>
    <t xml:space="preserve">Aporte dos sócios</t>
  </si>
  <si>
    <t xml:space="preserve">Recursos de terceiros</t>
  </si>
  <si>
    <t xml:space="preserve">Se usar terceiros, inclua os juros no Resultado financeiro da DRE.</t>
  </si>
  <si>
    <t xml:space="preserve">Aporte por sócio</t>
  </si>
  <si>
    <t xml:space="preserve">Depreciação + amortização mensal (vai para a DRE)</t>
  </si>
  <si>
    <t xml:space="preserve">Equipamentos ÷ vida útil + implantação ÷ prazo de amortização. Despesas pré-operacionais vão direto para a DRE do M1.</t>
  </si>
  <si>
    <t xml:space="preserve">Funil de vendas mês a mês</t>
  </si>
  <si>
    <t xml:space="preserve">Leads prospectados (azul) é a única entrada de volume; o resto são as taxas da aba Premissas.</t>
  </si>
  <si>
    <t xml:space="preserve">Etapa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</si>
  <si>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</si>
  <si>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</si>
  <si>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</si>
  <si>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</si>
  <si>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</si>
  <si>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</si>
  <si>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</si>
  <si>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</si>
  <si>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</si>
  <si>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</si>
  <si>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</si>
  <si>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</si>
  <si>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M13</t>
  </si>
  <si>
    <t xml:space="preserve">M14</t>
  </si>
  <si>
    <t xml:space="preserve">M15</t>
  </si>
  <si>
    <t xml:space="preserve">M16</t>
  </si>
  <si>
    <t xml:space="preserve">M17</t>
  </si>
  <si>
    <t xml:space="preserve">M18</t>
  </si>
  <si>
    <t xml:space="preserve">M19</t>
  </si>
  <si>
    <t xml:space="preserve">M20</t>
  </si>
  <si>
    <t xml:space="preserve">M21</t>
  </si>
  <si>
    <t xml:space="preserve">M22</t>
  </si>
  <si>
    <t xml:space="preserve">M23</t>
  </si>
  <si>
    <t xml:space="preserve">M24</t>
  </si>
  <si>
    <t xml:space="preserve">Ano 1</t>
  </si>
  <si>
    <t xml:space="preserve">Ano 2</t>
  </si>
  <si>
    <t xml:space="preserve">Total 24m</t>
  </si>
  <si>
    <t xml:space="preserve">Nº do mês</t>
  </si>
  <si>
    <t xml:space="preserve">Leads prospectados — plano base (entrada)</t>
  </si>
  <si>
    <t xml:space="preserve">Leads no cenário ativo</t>
  </si>
  <si>
    <t xml:space="preserve">Leads qualificados</t>
  </si>
  <si>
    <t xml:space="preserve">Demonstrações</t>
  </si>
  <si>
    <t xml:space="preserve">Propostas enviadas</t>
  </si>
  <si>
    <t xml:space="preserve">Clientes fechados (novos)</t>
  </si>
  <si>
    <t xml:space="preserve">Funil padrão (regime de maturidade, Seção 19)</t>
  </si>
  <si>
    <t xml:space="preserve">Quantidade</t>
  </si>
  <si>
    <t xml:space="preserve">Conversão</t>
  </si>
  <si>
    <t xml:space="preserve">Leads</t>
  </si>
  <si>
    <t xml:space="preserve">Qualificados</t>
  </si>
  <si>
    <t xml:space="preserve">Propostas</t>
  </si>
  <si>
    <t xml:space="preserve">Clientes fechados</t>
  </si>
  <si>
    <t xml:space="preserve">Clientes e receita mês a mês</t>
  </si>
  <si>
    <t xml:space="preserve">Receita em regime de competência: o mês em que o serviço é prestado e faturado.</t>
  </si>
  <si>
    <t xml:space="preserve">Linha</t>
  </si>
  <si>
    <t xml:space="preserve">Clientes-piloto (usam sem pagar)</t>
  </si>
  <si>
    <t xml:space="preserve">Piloto convertido em pagante</t>
  </si>
  <si>
    <t xml:space="preserve">Novos clientes vindos do funil</t>
  </si>
  <si>
    <t xml:space="preserve">Cancelamentos</t>
  </si>
  <si>
    <t xml:space="preserve">Clientes pagantes ativos (fim do mês)</t>
  </si>
  <si>
    <t xml:space="preserve">Clientes atendidos (pagantes + piloto)</t>
  </si>
  <si>
    <t xml:space="preserve">Colaboradores atendidos na plataforma</t>
  </si>
  <si>
    <t xml:space="preserve">Ticket médio por cliente (ARPA)</t>
  </si>
  <si>
    <t xml:space="preserve">RECEITA DO MÊS (MRR)</t>
  </si>
  <si>
    <t xml:space="preserve">Receita anualizada (ARR = MRR × 12)</t>
  </si>
  <si>
    <t xml:space="preserve">Conferência com a documentação (vale no cenário Base)</t>
  </si>
  <si>
    <t xml:space="preserve">Marco</t>
  </si>
  <si>
    <t xml:space="preserve">Mês</t>
  </si>
  <si>
    <t xml:space="preserve">Documentação</t>
  </si>
  <si>
    <t xml:space="preserve">Modelo</t>
  </si>
  <si>
    <t xml:space="preserve">Situação</t>
  </si>
  <si>
    <t xml:space="preserve">Clientes pagantes ativos</t>
  </si>
  <si>
    <t xml:space="preserve">ARR no M24 (SOM da Seção 5 = R$ 3,6 mi)</t>
  </si>
  <si>
    <t xml:space="preserve">Custos fixos</t>
  </si>
  <si>
    <t xml:space="preserve">Modelo do slide 7, detalhado por fase. Os totais por fase são os mesmos da Seção 20 (R$ 2,5 mil · 7 mil · 14 mil · 19 mil).</t>
  </si>
  <si>
    <t xml:space="preserve">Equipe contratada (CLT)</t>
  </si>
  <si>
    <t xml:space="preserve">Fase 1 · Piloto</t>
  </si>
  <si>
    <t xml:space="preserve">Fase 2 · Early adopters</t>
  </si>
  <si>
    <t xml:space="preserve">Fase 3a · Scale inicial</t>
  </si>
  <si>
    <t xml:space="preserve">Fase 3b · Scale maduro</t>
  </si>
  <si>
    <t xml:space="preserve">Salário</t>
  </si>
  <si>
    <t xml:space="preserve">Pessoas em tempo integral (FTE) por fase</t>
  </si>
  <si>
    <t xml:space="preserve">Customer Success (CS)</t>
  </si>
  <si>
    <t xml:space="preserve">SDR (pré-vendas)</t>
  </si>
  <si>
    <t xml:space="preserve">Sócios: sem pró-labore; remunerados por distribuição de lucros (ver aba Tributação).</t>
  </si>
  <si>
    <t xml:space="preserve">Descrição (modelo do slide 7)</t>
  </si>
  <si>
    <t xml:space="preserve">Grupo</t>
  </si>
  <si>
    <t xml:space="preserve">Aluguel (coworking)</t>
  </si>
  <si>
    <t xml:space="preserve">ocup</t>
  </si>
  <si>
    <t xml:space="preserve">IPTU</t>
  </si>
  <si>
    <t xml:space="preserve">Água</t>
  </si>
  <si>
    <t xml:space="preserve">util</t>
  </si>
  <si>
    <t xml:space="preserve">Energia elétrica</t>
  </si>
  <si>
    <t xml:space="preserve">Telefone, internet, celular</t>
  </si>
  <si>
    <t xml:space="preserve">Manutenção dos equipamentos</t>
  </si>
  <si>
    <t xml:space="preserve">outros</t>
  </si>
  <si>
    <t xml:space="preserve">Material de limpeza</t>
  </si>
  <si>
    <t xml:space="preserve">limpeza</t>
  </si>
  <si>
    <t xml:space="preserve">Material de escritório</t>
  </si>
  <si>
    <t xml:space="preserve">Taxa de licença (TFE/alvará, mensalizada)</t>
  </si>
  <si>
    <t xml:space="preserve">ISS</t>
  </si>
  <si>
    <t xml:space="preserve">Propaganda e marketing (conteúdo, site, LinkedIn)</t>
  </si>
  <si>
    <t xml:space="preserve">Seguro empresarial / cyber</t>
  </si>
  <si>
    <t xml:space="preserve">seguro</t>
  </si>
  <si>
    <t xml:space="preserve">Contabilidade</t>
  </si>
  <si>
    <t xml:space="preserve">Infraestrutura em nuvem (hospedagem, banco, domínio)</t>
  </si>
  <si>
    <t xml:space="preserve">Ferramentas de software (CRM, e-mail, design)</t>
  </si>
  <si>
    <t xml:space="preserve">Imprevistos</t>
  </si>
  <si>
    <t xml:space="preserve">Subtotal — demais custos fixos</t>
  </si>
  <si>
    <t xml:space="preserve">Mão de obra (salários + encargos)</t>
  </si>
  <si>
    <t xml:space="preserve">TOTAL (custo fixo desembolsado por mês)</t>
  </si>
  <si>
    <t xml:space="preserve">Total citado na Seção 20 da documentação</t>
  </si>
  <si>
    <t xml:space="preserve">Confere?</t>
  </si>
  <si>
    <t xml:space="preserve">Depreciação e amortização (não sai do caixa)</t>
  </si>
  <si>
    <t xml:space="preserve">Custos fixos mês a mês</t>
  </si>
  <si>
    <t xml:space="preserve">Fase (1 a 4)</t>
  </si>
  <si>
    <t xml:space="preserve">Depreciação e amortização</t>
  </si>
  <si>
    <t xml:space="preserve">TOTAL DE CUSTOS FIXOS DO MÊS</t>
  </si>
  <si>
    <t xml:space="preserve">Custos variáveis — estimativa</t>
  </si>
  <si>
    <t xml:space="preserve">Modelo do slide 8: ficha técnica por cliente e por colaborador, depois a projeção mês a mês.</t>
  </si>
  <si>
    <t xml:space="preserve">Ficha técnica — 1 cliente médio por mês</t>
  </si>
  <si>
    <t xml:space="preserve">R$ por cliente</t>
  </si>
  <si>
    <t xml:space="preserve">R$ por colaborador</t>
  </si>
  <si>
    <t xml:space="preserve">Equivale no slide a</t>
  </si>
  <si>
    <t xml:space="preserve">Processamento de IA (300 colaboradores)</t>
  </si>
  <si>
    <t xml:space="preserve">Material</t>
  </si>
  <si>
    <t xml:space="preserve">DAS (alíquota efetiva média do Ano 2)</t>
  </si>
  <si>
    <t xml:space="preserve">Imposto</t>
  </si>
  <si>
    <t xml:space="preserve">Comissão de vendas</t>
  </si>
  <si>
    <t xml:space="preserve">Tarifa de cobrança</t>
  </si>
  <si>
    <t xml:space="preserve">Frete / entrega</t>
  </si>
  <si>
    <t xml:space="preserve">Perda com inadimplência</t>
  </si>
  <si>
    <t xml:space="preserve">Custo variável por cliente/mês</t>
  </si>
  <si>
    <t xml:space="preserve">Preço cobrado por cliente/mês (ARPA)</t>
  </si>
  <si>
    <t xml:space="preserve">Margem de contribuição por cliente/mês</t>
  </si>
  <si>
    <t xml:space="preserve">Entrega 100% digital: não há embalagem nem frete. O CAC (custo de conquistar o cliente) não entra aqui: é uma verba comercial planejada, tratada como despesa do período na DRE.</t>
  </si>
  <si>
    <t xml:space="preserve">Projeção mês a mês</t>
  </si>
  <si>
    <t xml:space="preserve">Processamento de IA (insumo direto)</t>
  </si>
  <si>
    <t xml:space="preserve">Impostos sobre vendas (DAS)</t>
  </si>
  <si>
    <t xml:space="preserve">Comissões de vendas</t>
  </si>
  <si>
    <t xml:space="preserve">Tarifas de cobrança</t>
  </si>
  <si>
    <t xml:space="preserve">Perdas com inadimplência</t>
  </si>
  <si>
    <t xml:space="preserve">TOTAL DE CUSTOS VARIÁVEIS</t>
  </si>
  <si>
    <t xml:space="preserve">Aquisição de clientes (CAC × novos clientes do funil)</t>
  </si>
  <si>
    <t xml:space="preserve">Custo unitário e preço de venda</t>
  </si>
  <si>
    <t xml:space="preserve">Slide 9. A unidade vendida é 1 colaborador atendido por mês. Preço = custo unitário ÷ [100% − (% impostos + % lucro)].</t>
  </si>
  <si>
    <t xml:space="preserve">Item (por colaborador/mês)</t>
  </si>
  <si>
    <t xml:space="preserve">Momento 1</t>
  </si>
  <si>
    <t xml:space="preserve">Momento 2</t>
  </si>
  <si>
    <t xml:space="preserve">Momento 3</t>
  </si>
  <si>
    <t xml:space="preserve">Fórmula</t>
  </si>
  <si>
    <t xml:space="preserve">Mês de referência (troque para ver outro volume)</t>
  </si>
  <si>
    <t xml:space="preserve">Volume: colaboradores atendidos no mês</t>
  </si>
  <si>
    <t xml:space="preserve">Clientes atendidos × 300.</t>
  </si>
  <si>
    <t xml:space="preserve">Custo unitário da mão de obra</t>
  </si>
  <si>
    <t xml:space="preserve">Custo da mão de obra ÷ volume produzido.</t>
  </si>
  <si>
    <t xml:space="preserve">Insumo direto (IA + cobrança) por colaborador</t>
  </si>
  <si>
    <t xml:space="preserve">No slide, "MP": processamento de IA + tarifa da fatura.</t>
  </si>
  <si>
    <t xml:space="preserve">Custo fixo unitário</t>
  </si>
  <si>
    <t xml:space="preserve">Custo fixo total (sem mão de obra) ÷ volume produzido.</t>
  </si>
  <si>
    <t xml:space="preserve">CUSTO UNITÁRIO (MDO + MP + custo fixo unitário)</t>
  </si>
  <si>
    <t xml:space="preserve">Fórmula do slide 9.</t>
  </si>
  <si>
    <t xml:space="preserve">% impostos e gastos sobre o preço (DAS + comissão + inadimplência)</t>
  </si>
  <si>
    <t xml:space="preserve">Alíquota efetiva do DAS no mês + comissão + inadimplência.</t>
  </si>
  <si>
    <t xml:space="preserve">% lucro desejado</t>
  </si>
  <si>
    <t xml:space="preserve">Premissas.</t>
  </si>
  <si>
    <t xml:space="preserve">PREÇO DE VENDA CALCULADO = custo ÷ [100% − (% impostos + % lucro)]</t>
  </si>
  <si>
    <t xml:space="preserve">Preço que cobre custos, impostos e o lucro desejado nesse volume.</t>
  </si>
  <si>
    <t xml:space="preserve">Preço médio praticado</t>
  </si>
  <si>
    <t xml:space="preserve">Folga do preço praticado sobre o calculado</t>
  </si>
  <si>
    <t xml:space="preserve">Quanto o preço de mercado está acima do preço mínimo com lucro.</t>
  </si>
  <si>
    <t xml:space="preserve">Margem de cada plano no Momento 2</t>
  </si>
  <si>
    <t xml:space="preserve">Plano</t>
  </si>
  <si>
    <t xml:space="preserve">Preço/colab</t>
  </si>
  <si>
    <t xml:space="preserve">Custo + impostos</t>
  </si>
  <si>
    <t xml:space="preserve">Lucro por colab</t>
  </si>
  <si>
    <t xml:space="preserve">Starter (100–300 colaboradores)</t>
  </si>
  <si>
    <t xml:space="preserve">Growth (301–800)</t>
  </si>
  <si>
    <t xml:space="preserve">Enterprise (801–2.000)</t>
  </si>
  <si>
    <t xml:space="preserve">O custo unitário cai muito com o volume: o custo fixo é diluído em mais colaboradores. É a economia de escala típica de software.</t>
  </si>
  <si>
    <t xml:space="preserve">Impostos — Simples Nacional</t>
  </si>
  <si>
    <t xml:space="preserve">DAS sobre a receita, com a receita bruta dos últimos 12 meses (RBT12). Inclui IRPJ, CSLL, PIS, Cofins, CPP e ISS.</t>
  </si>
  <si>
    <t xml:space="preserve">Tabelas 2026 (LC 123/2006)</t>
  </si>
  <si>
    <t xml:space="preserve">Faixa</t>
  </si>
  <si>
    <t xml:space="preserve">RBT12 de (R$)</t>
  </si>
  <si>
    <t xml:space="preserve">até (R$)</t>
  </si>
  <si>
    <t xml:space="preserve">Anexo III nominal</t>
  </si>
  <si>
    <t xml:space="preserve">III: deduzir (R$)</t>
  </si>
  <si>
    <t xml:space="preserve">Anexo V nominal</t>
  </si>
  <si>
    <t xml:space="preserve">V: deduzir (R$)</t>
  </si>
  <si>
    <t xml:space="preserve">1ª</t>
  </si>
  <si>
    <t xml:space="preserve">2ª</t>
  </si>
  <si>
    <t xml:space="preserve">3ª</t>
  </si>
  <si>
    <t xml:space="preserve">4ª</t>
  </si>
  <si>
    <t xml:space="preserve">5ª</t>
  </si>
  <si>
    <t xml:space="preserve">6ª</t>
  </si>
  <si>
    <t xml:space="preserve">Fonte: LC 123/2006, Anexos III e V (tabelas vigentes em 2026). SaaS (CNAE 6311-9/00 ou 6203-1/00) fica no Anexo V, ou no Anexo III quando o Fator R ≥ 28%.</t>
  </si>
  <si>
    <t xml:space="preserve">Cálculo mês a mês</t>
  </si>
  <si>
    <t xml:space="preserve">Receita do mês</t>
  </si>
  <si>
    <t xml:space="preserve">RBT12 — receita bruta dos 12 meses anteriores</t>
  </si>
  <si>
    <t xml:space="preserve">Alíquota efetiva — Anexo V</t>
  </si>
  <si>
    <t xml:space="preserve">DAS A PAGAR (Anexo V — regime adotado)</t>
  </si>
  <si>
    <t xml:space="preserve">Simulação: e se os sócios tirassem pró-labore para chegar ao Fator R de 28% (Anexo III)?</t>
  </si>
  <si>
    <t xml:space="preserve">Alíquota efetiva — Anexo III</t>
  </si>
  <si>
    <t xml:space="preserve">DAS no Anexo III</t>
  </si>
  <si>
    <t xml:space="preserve">Folha CLT do mês (salários + encargos)</t>
  </si>
  <si>
    <t xml:space="preserve">Pró-labore total necessário para o Fator R</t>
  </si>
  <si>
    <t xml:space="preserve">Pró-labore por sócio</t>
  </si>
  <si>
    <t xml:space="preserve">INSS dos sócios (11% até o teto)</t>
  </si>
  <si>
    <t xml:space="preserve">IRPF dos sócios sobre o pró-labore</t>
  </si>
  <si>
    <t xml:space="preserve">Custo da rota Anexo III (DAS + INSS + IRPF)</t>
  </si>
  <si>
    <t xml:space="preserve">Economia da rota Anexo III (positivo = compensa)</t>
  </si>
  <si>
    <t xml:space="preserve">Leitura da simulação</t>
  </si>
  <si>
    <t xml:space="preserve">O pró-labore em si é pago aos próprios sócios; o custo comparado aqui é só o imposto. Decisão a validar com o contador, que também considera a tributação de lucros distribuídos.</t>
  </si>
  <si>
    <t xml:space="preserve">Demonstração do Resultado do Exercício — mês a mês</t>
  </si>
  <si>
    <t xml:space="preserve">Modelo do slide 11, em regime de competência: a receita e os custos entram no mês a que pertencem, não no mês em que o dinheiro se move.</t>
  </si>
  <si>
    <t xml:space="preserve">Conta</t>
  </si>
  <si>
    <t xml:space="preserve">1. Receita total com vendas</t>
  </si>
  <si>
    <t xml:space="preserve">2. (−) Custos variáveis totais</t>
  </si>
  <si>
    <t xml:space="preserve">      (−) custos diretos — processamento de IA</t>
  </si>
  <si>
    <t xml:space="preserve">      (−) impostos sobre vendas (DAS)</t>
  </si>
  <si>
    <t xml:space="preserve">      (−) gastos com vendas (comissões e tarifas)</t>
  </si>
  <si>
    <t xml:space="preserve">      (−) perdas com inadimplência</t>
  </si>
  <si>
    <t xml:space="preserve">3. (=) Margem de contribuição (1 − 2)</t>
  </si>
  <si>
    <t xml:space="preserve">      Margem de contribuição (% da receita)</t>
  </si>
  <si>
    <t xml:space="preserve">4. (−) Custos fixos totais</t>
  </si>
  <si>
    <t xml:space="preserve">      mão de obra (salários + encargos)</t>
  </si>
  <si>
    <t xml:space="preserve">      demais custos fixos (slide 7)</t>
  </si>
  <si>
    <t xml:space="preserve">      aquisição de clientes (verba comercial / CAC)</t>
  </si>
  <si>
    <t xml:space="preserve">      depreciação e amortização</t>
  </si>
  <si>
    <t xml:space="preserve">5. (=) Resultado operacional (3 − 4)</t>
  </si>
  <si>
    <t xml:space="preserve">      (+/−) resultado financeiro (rendimentos − tarifas bancárias)</t>
  </si>
  <si>
    <t xml:space="preserve">      (−) outras despesas (pré-operacionais, no M1)</t>
  </si>
  <si>
    <t xml:space="preserve">(=) RESULTADO LÍQUIDO</t>
  </si>
  <si>
    <t xml:space="preserve">      Margem líquida (% da receita)</t>
  </si>
  <si>
    <t xml:space="preserve">Resultado líquido acumulado</t>
  </si>
  <si>
    <t xml:space="preserve">Auxiliar: mês com resultado operacional ≥ 0 depois do piloto</t>
  </si>
  <si>
    <t xml:space="preserve">DRE — resultado operacional e resultado líquido</t>
  </si>
  <si>
    <t xml:space="preserve">Exatamente o formato do slide 11, com R$ e % da receita (análise vertical) para o Ano 1, o Ano 2 e os 24 meses.</t>
  </si>
  <si>
    <t xml:space="preserve">Ano 1 (R$)</t>
  </si>
  <si>
    <t xml:space="preserve">Ano 2 (R$)</t>
  </si>
  <si>
    <t xml:space="preserve">24 meses (R$)</t>
  </si>
  <si>
    <t xml:space="preserve">Ano 2 / Ano 1</t>
  </si>
  <si>
    <t xml:space="preserve">1. Receita total com vendas (à vista + a prazo)</t>
  </si>
  <si>
    <t xml:space="preserve">2. Custos variáveis totais</t>
  </si>
  <si>
    <t xml:space="preserve">      (−) custos diretos (processamento de IA)</t>
  </si>
  <si>
    <t xml:space="preserve">      (−) gastos com vendas (comissões, tarifas de cobrança)</t>
  </si>
  <si>
    <t xml:space="preserve">      mão de obra</t>
  </si>
  <si>
    <t xml:space="preserve">      demais custos fixos</t>
  </si>
  <si>
    <t xml:space="preserve">      aquisição de clientes (CAC)</t>
  </si>
  <si>
    <t xml:space="preserve">5. Resultado operacional (lucro/prejuízo) (3 − 4)</t>
  </si>
  <si>
    <t xml:space="preserve">      (+/−) resultado financeiro</t>
  </si>
  <si>
    <t xml:space="preserve">      (−) outras despesas</t>
  </si>
  <si>
    <t xml:space="preserve">Como ler: a margem de contribuição mostra quanto de cada R$ 100 vendidos sobra para pagar os custos fixos. O DAS cresce no Ano 2 porque a alíquota efetiva sobe junto com a receita dos últimos 12 meses.</t>
  </si>
  <si>
    <t xml:space="preserve">Dados do gráfico</t>
  </si>
  <si>
    <t xml:space="preserve">Receita</t>
  </si>
  <si>
    <t xml:space="preserve">Custos variáveis</t>
  </si>
  <si>
    <t xml:space="preserve">Margem de contribuição</t>
  </si>
  <si>
    <t xml:space="preserve">Resultado líquido</t>
  </si>
  <si>
    <t xml:space="preserve">Fluxo de caixa (regime de caixa)</t>
  </si>
  <si>
    <t xml:space="preserve">Modelo do slide 13. Cada valor entra no mês em que o dinheiro efetivamente entra ou sai: vendas recebidas em 30 dias; salários, DAS e comissões pagos no mês seguinte.</t>
  </si>
  <si>
    <t xml:space="preserve">M0 (pré)</t>
  </si>
  <si>
    <t xml:space="preserve">Saldo inicial</t>
  </si>
  <si>
    <t xml:space="preserve">ENTRADAS</t>
  </si>
  <si>
    <t xml:space="preserve">Recebimento de clientes (faturas do mês anterior)</t>
  </si>
  <si>
    <t xml:space="preserve">Rendimento do caixa aplicado</t>
  </si>
  <si>
    <t xml:space="preserve">Total de entradas</t>
  </si>
  <si>
    <t xml:space="preserve">SAÍDAS</t>
  </si>
  <si>
    <t xml:space="preserve">Investimentos (pré-operacionais + fixos)</t>
  </si>
  <si>
    <t xml:space="preserve">Salários e encargos (pagos no mês seguinte)</t>
  </si>
  <si>
    <t xml:space="preserve">Aquisição de clientes (CAC)</t>
  </si>
  <si>
    <t xml:space="preserve">DAS (vence no mês seguinte)</t>
  </si>
  <si>
    <t xml:space="preserve">Comissões (pagas no mês seguinte)</t>
  </si>
  <si>
    <t xml:space="preserve">Tarifas de cobrança e bancárias</t>
  </si>
  <si>
    <t xml:space="preserve">Total de saídas</t>
  </si>
  <si>
    <t xml:space="preserve">Resultado de caixa do mês (entradas − saídas)</t>
  </si>
  <si>
    <t xml:space="preserve">SALDO FINAL DE CAIXA</t>
  </si>
  <si>
    <t xml:space="preserve">Saldo ficou negativo em algum mês?</t>
  </si>
  <si>
    <t xml:space="preserve">Auxiliar: mês em que o saldo recupera o aporte</t>
  </si>
  <si>
    <t xml:space="preserve">Comparativo: DRE × fluxo de caixa</t>
  </si>
  <si>
    <t xml:space="preserve">Slide 14. A DRE mede o desempenho econômico (lucro, competência); o fluxo de caixa mede o financeiro (saldo, caixa).</t>
  </si>
  <si>
    <t xml:space="preserve">Resultado líquido do mês (DRE)</t>
  </si>
  <si>
    <t xml:space="preserve">Resultado de caixa do mês, sem o aporte (fluxo)</t>
  </si>
  <si>
    <t xml:space="preserve">Diferença (caixa − lucro)</t>
  </si>
  <si>
    <t xml:space="preserve">Lucro acumulado (DRE)</t>
  </si>
  <si>
    <t xml:space="preserve">Caixa gerado acumulado (fluxo, sem aporte)</t>
  </si>
  <si>
    <t xml:space="preserve">Por que os dois números são diferentes</t>
  </si>
  <si>
    <t xml:space="preserve">• Prazo de recebimento: a receita entra na DRE no mês da venda, mas o dinheiro só chega 30 dias depois (o caixa fica "atrás" da DRE quando as vendas crescem).</t>
  </si>
  <si>
    <t xml:space="preserve">• Prazo de pagamento: salários, DAS e comissões aparecem na DRE do mês, mas saem do caixa no mês seguinte (isso alivia o caixa).</t>
  </si>
  <si>
    <t xml:space="preserve">• Depreciação: reduz o lucro todo mês, mas não é saída de dinheiro; a compra do equipamento saiu inteira do caixa no M0.</t>
  </si>
  <si>
    <t xml:space="preserve">• Despesas pré-operacionais: pagas no M0 (caixa) e lançadas na DRE do M1.</t>
  </si>
  <si>
    <t xml:space="preserve">• Inadimplência: a DRE registra a perda, o caixa simplesmente não recebe.</t>
  </si>
  <si>
    <t xml:space="preserve">Indicadores de resultado</t>
  </si>
  <si>
    <t xml:space="preserve">Slide 15 (rentabilidade, ponto de equilíbrio, margem de contribuição) e indicadores de SaaS.</t>
  </si>
  <si>
    <t xml:space="preserve">Indicador</t>
  </si>
  <si>
    <t xml:space="preserve">24 meses</t>
  </si>
  <si>
    <t xml:space="preserve">Fórmula / leitura</t>
  </si>
  <si>
    <t xml:space="preserve">Investimento e retorno</t>
  </si>
  <si>
    <t xml:space="preserve">Investimento inicial total</t>
  </si>
  <si>
    <t xml:space="preserve">Aba Investimento Inicial (slide 6).</t>
  </si>
  <si>
    <t xml:space="preserve">DRE Anual.</t>
  </si>
  <si>
    <t xml:space="preserve">Resultado líquido (lucro)</t>
  </si>
  <si>
    <t xml:space="preserve">Rentabilidade = lucro ÷ investimento inicial × 100</t>
  </si>
  <si>
    <t xml:space="preserve">Fórmula do slide 15. Fica muito alta porque um SaaS exige pouco investimento fixo; o risco está no tempo e no esforço dos sócios, que não entram no investimento.</t>
  </si>
  <si>
    <t xml:space="preserve">Lucratividade = lucro ÷ receita</t>
  </si>
  <si>
    <t xml:space="preserve">Quanto de cada R$ 100 vendidos vira lucro.</t>
  </si>
  <si>
    <t xml:space="preserve">Prazo de retorno do investimento (mês)</t>
  </si>
  <si>
    <t xml:space="preserve">Primeiro mês em que o saldo de caixa volta a ser igual ou maior que o aporte dos sócios.</t>
  </si>
  <si>
    <t xml:space="preserve">Margem de contribuição e ponto de equilíbrio</t>
  </si>
  <si>
    <t xml:space="preserve">Margem de contribuição (R$)</t>
  </si>
  <si>
    <t xml:space="preserve">Receita − custos variáveis (slide 15).</t>
  </si>
  <si>
    <t xml:space="preserve">Margem de contribuição (% da receita)</t>
  </si>
  <si>
    <t xml:space="preserve">Índice usado no ponto de equilíbrio.</t>
  </si>
  <si>
    <t xml:space="preserve">Custos fixos totais do período</t>
  </si>
  <si>
    <t xml:space="preserve">Inclui a verba de aquisição de clientes e a depreciação.</t>
  </si>
  <si>
    <t xml:space="preserve">Ponto de equilíbrio (receita) = custo fixo ÷ MC%</t>
  </si>
  <si>
    <t xml:space="preserve">Fórmula do slide 15: receita mínima para não ter prejuízo no período.</t>
  </si>
  <si>
    <t xml:space="preserve">Ponto de equilíbrio em clientes pagantes (média por mês)</t>
  </si>
  <si>
    <t xml:space="preserve">Receita de equilíbrio do ano ÷ 12 ÷ ticket médio.</t>
  </si>
  <si>
    <t xml:space="preserve">Margem de segurança = (receita − PE) ÷ receita</t>
  </si>
  <si>
    <t xml:space="preserve">Quanto a receita pode cair antes de dar prejuízo.</t>
  </si>
  <si>
    <t xml:space="preserve">Primeiro mês com resultado operacional positivo</t>
  </si>
  <si>
    <t xml:space="preserve">Antes disso, o piloto não gera receita.</t>
  </si>
  <si>
    <t xml:space="preserve">Caixa</t>
  </si>
  <si>
    <t xml:space="preserve">Menor saldo de caixa no período</t>
  </si>
  <si>
    <t xml:space="preserve">Se fosse negativo, o aporte inicial não bastaria.</t>
  </si>
  <si>
    <t xml:space="preserve">Saldo de caixa no fim do período</t>
  </si>
  <si>
    <t xml:space="preserve">Aba Fluxo de Caixa.</t>
  </si>
  <si>
    <t xml:space="preserve">Indicadores de SaaS</t>
  </si>
  <si>
    <t xml:space="preserve">300 colaboradores × preço médio.</t>
  </si>
  <si>
    <t xml:space="preserve">CAC (custo para conquistar um cliente)</t>
  </si>
  <si>
    <t xml:space="preserve">ARPA × MC% do Ano 2.</t>
  </si>
  <si>
    <t xml:space="preserve">LTV (valor do cliente ao longo da vida)</t>
  </si>
  <si>
    <t xml:space="preserve">MC por cliente × vida média estimada (36 meses).</t>
  </si>
  <si>
    <t xml:space="preserve">LTV ÷ CAC</t>
  </si>
  <si>
    <t xml:space="preserve">Saudável: acima de 3x.</t>
  </si>
  <si>
    <t xml:space="preserve">Payback do CAC (meses)</t>
  </si>
  <si>
    <t xml:space="preserve">Meses de margem para recuperar o custo de conquistar o cliente.</t>
  </si>
  <si>
    <t xml:space="preserve">Gráfico do ponto de equilíbrio — mês típico do Ano 2</t>
  </si>
  <si>
    <t xml:space="preserve">Clientes pagantes no mês</t>
  </si>
  <si>
    <t xml:space="preserve">Custo total</t>
  </si>
  <si>
    <t xml:space="preserve">Custo fixo</t>
  </si>
  <si>
    <t xml:space="preserve">Equilíbrio no mês típico do Ano 2 (clientes)</t>
  </si>
  <si>
    <t xml:space="preserve">Clientes necessários para cobrir o custo fixo de cada fase</t>
  </si>
  <si>
    <t xml:space="preserve">Fase</t>
  </si>
  <si>
    <t xml:space="preserve">Custo fixo + depreciação/mês</t>
  </si>
  <si>
    <t xml:space="preserve">Clientes no equilíbrio</t>
  </si>
  <si>
    <t xml:space="preserve">Clientes previstos no fim da fase</t>
  </si>
  <si>
    <t xml:space="preserve">Sem contar o CAC: é o equilíbrio da operação já instalada. Usa a MC% média dos 24 meses.</t>
  </si>
  <si>
    <t xml:space="preserve">Cenários: pessimista, base e otimista</t>
  </si>
  <si>
    <t xml:space="preserve">Foto dos resultados com o seletor da aba Premissas em 1, 2 e 3. A coluna "Agora" acompanha o seletor ao vivo.</t>
  </si>
  <si>
    <t xml:space="preserve">Resultado</t>
  </si>
  <si>
    <t xml:space="preserve">Agora (ao vivo)</t>
  </si>
  <si>
    <t xml:space="preserve">O que muda</t>
  </si>
  <si>
    <t xml:space="preserve">Clientes pagantes no M24</t>
  </si>
  <si>
    <t xml:space="preserve">Pessimista: 40% menos leads, 8% de desconto, CAC 30% maior e 2% de cancelamento ao mês no Ano 2. Otimista: 30% mais leads e CAC 10% menor.</t>
  </si>
  <si>
    <t xml:space="preserve">Resultado líquido — Ano 1</t>
  </si>
  <si>
    <t xml:space="preserve">Resultado líquido — Ano 2</t>
  </si>
  <si>
    <t xml:space="preserve">Primeiro mês com resultado positivo</t>
  </si>
  <si>
    <t xml:space="preserve">Menor saldo de caixa</t>
  </si>
  <si>
    <t xml:space="preserve">Saldo de caixa no M24</t>
  </si>
  <si>
    <t xml:space="preserve">As colunas Pessimista, Base e Otimista são valores fixos: para atualizá-las depois de mudar uma premissa, ponha o seletor em 1, 2 e 3 e copie a coluna "Agora".</t>
  </si>
  <si>
    <t xml:space="preserve">Comparáveis de mercado</t>
  </si>
  <si>
    <t xml:space="preserve">Dados reais (não fictícios) usados para calibrar as metas do SkillWay — os mesmos da Seção 20.</t>
  </si>
  <si>
    <t xml:space="preserve">Empresa</t>
  </si>
  <si>
    <t xml:space="preserve">Marco real reportado</t>
  </si>
  <si>
    <t xml:space="preserve">Fonte</t>
  </si>
  <si>
    <t xml:space="preserve">Scaleup</t>
  </si>
  <si>
    <t xml:space="preserve">Capacitação empreendedora (B2C, alto volume)</t>
  </si>
  <si>
    <t xml:space="preserve">R$ 3 milhões de faturamento já no 1º ano</t>
  </si>
  <si>
    <t xml:space="preserve">Baguete</t>
  </si>
  <si>
    <t xml:space="preserve">Witseed</t>
  </si>
  <si>
    <t xml:space="preserve">Educação corporativa B2B (HRAcademy)</t>
  </si>
  <si>
    <t xml:space="preserve">Aporte seed de R$ 920 mil após ~4 anos; equipe de 15 para 27 pessoas</t>
  </si>
  <si>
    <t xml:space="preserve">Education Journey</t>
  </si>
  <si>
    <t xml:space="preserve">Curadoria de trilhas para empresas — o modelo mais próximo do SkillWay</t>
  </si>
  <si>
    <t xml:space="preserve">Contrato com a Ambev (4 mil cursos) ainda em estágio inicial</t>
  </si>
  <si>
    <t xml:space="preserve">Forbes Brasil</t>
  </si>
  <si>
    <t xml:space="preserve">Gupy</t>
  </si>
  <si>
    <t xml:space="preserve">HRTech (recrutamento → suíte completa)</t>
  </si>
  <si>
    <t xml:space="preserve">15% de crescimento médio mensal da receita até a Série A</t>
  </si>
  <si>
    <t xml:space="preserve">LAVCA</t>
  </si>
  <si>
    <t xml:space="preserve">Sólides</t>
  </si>
  <si>
    <t xml:space="preserve">RH comportamental para PME (concorrente, Seção 3)</t>
  </si>
  <si>
    <t xml:space="preserve">45 mil clientes, com aporte de R$ 530 mi e aquisições</t>
  </si>
  <si>
    <t xml:space="preserve">Seção 3</t>
  </si>
  <si>
    <t xml:space="preserve">Benchmarks de SaaS B2B brasileiro</t>
  </si>
  <si>
    <t xml:space="preserve">• MRR mediano em estágio pré-seed: ~R$ 15 mil (o SkillWay passa disso com 2 clientes pagantes).</t>
  </si>
  <si>
    <t xml:space="preserve">• CAC típico PME: R$ 3 mil a R$ 15 mil · mid-market: R$ 30 mil a R$ 150 mil.</t>
  </si>
  <si>
    <t xml:space="preserve">• LTV/CAC saudável: 3x ou mais.</t>
  </si>
  <si>
    <t xml:space="preserve">• Churn mensal mediano: 7,5% no pré-seed a 1% em empresas maduras (caso Gupy).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</si>
</sst>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&quot;R$ &quot;#,##0;&quot;(R$ &quot;#,##0\);\-"/>
    <numFmt numFmtId="166" formatCode="&quot;Mês &quot;0"/>
    <numFmt numFmtId="167" formatCode="0.0%;\(0.0%\);\-"/>
    <numFmt numFmtId="168" formatCode="#,##0.0;\(#,##0.0\);\-"/>
    <numFmt numFmtId="169" formatCode="&quot;R$ &quot;#,##0"/>
    <numFmt numFmtId="170" formatCode="0"/>
    <numFmt numFmtId="171" formatCode="#,##0,\k"/>
    <numFmt numFmtId="172" formatCode="0.00\x"/>
    <numFmt numFmtId="173" formatCode="#,##0;\(#,##0\);\-"/>
    <numFmt numFmtId="174" formatCode="&quot;R$ &quot;#,##0.00;&quot;(R$ &quot;#,##0.00\);\-"/>
    <numFmt numFmtId="175" formatCode="0.00%;\(0.00%\);\-"/>
    <numFmt numFmtId="176" formatCode="0.0"/>
    <numFmt numFmtId="177" formatCode="0%"/>
    <numFmt numFmtId="178" formatCode="0.0\x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4213D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14213D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4"/>
      <color rgb="FF14213D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4213D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EDE7FB"/>
        <bgColor rgb="FFE3EAF5"/>
      </patternFill>
    </fill>
    <fill>
      <patternFill patternType="solid">
        <fgColor rgb="FFE3EAF5"/>
        <bgColor rgb="FFEDE7FB"/>
      </patternFill>
    </fill>
    <fill>
      <patternFill patternType="solid">
        <fgColor rgb="FFD6E4F0"/>
        <bgColor rgb="FFE3EAF5"/>
      </patternFill>
    </fill>
    <fill>
      <patternFill patternType="solid">
        <fgColor rgb="FF6B4FD8"/>
        <bgColor rgb="FF725990"/>
      </patternFill>
    </fill>
    <fill>
      <patternFill patternType="solid">
        <fgColor rgb="FFE2F0D9"/>
        <bgColor rgb="FFE3EAF5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14213D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4" fillId="5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14" fillId="5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4" fillId="5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14" fillId="5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0" fontId="12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3" fontId="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4" fontId="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10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A64F"/>
      <rgbColor rgb="FF800080"/>
      <rgbColor rgb="FF4299B0"/>
      <rgbColor rgb="FFC0C0C0"/>
      <rgbColor rgb="FF7F7F7F"/>
      <rgbColor rgb="FF93A9CE"/>
      <rgbColor rgb="FFAB4744"/>
      <rgbColor rgb="FFEDE7FB"/>
      <rgbColor rgb="FFE3EAF5"/>
      <rgbColor rgb="FF660066"/>
      <rgbColor rgb="FFDC853E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4F81BD"/>
      <rgbColor rgb="FF0000FF"/>
      <rgbColor rgb="FF00CCFF"/>
      <rgbColor rgb="FFD6E4F0"/>
      <rgbColor rgb="FFE2F0D9"/>
      <rgbColor rgb="FFFFFF99"/>
      <rgbColor rgb="FF99CCFF"/>
      <rgbColor rgb="FFD09493"/>
      <rgbColor rgb="FFCC99FF"/>
      <rgbColor rgb="FFFFCC99"/>
      <rgbColor rgb="FF4672A8"/>
      <rgbColor rgb="FF1FB6E0"/>
      <rgbColor rgb="FF99CC00"/>
      <rgbColor rgb="FFFFCC00"/>
      <rgbColor rgb="FFF2A541"/>
      <rgbColor rgb="FFE4572E"/>
      <rgbColor rgb="FF725990"/>
      <rgbColor rgb="FF878787"/>
      <rgbColor rgb="FF003366"/>
      <rgbColor rgb="FF2F9E6B"/>
      <rgbColor rgb="FF003300"/>
      <rgbColor rgb="FF333300"/>
      <rgbColor rgb="FF993300"/>
      <rgbColor rgb="FF6B4FD8"/>
      <rgbColor rgb="FF595959"/>
      <rgbColor rgb="FF1421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Crescimento: receita mensal e clientes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"Receita mensal (MRR)"</c:f>
              <c:strCache>
                <c:ptCount val="1"/>
                <c:pt idx="0">
                  <c:v>Receita mensal (MRR)</c:v>
                </c:pt>
              </c:strCache>
            </c:strRef>
          </c:tx>
          <c:spPr>
            <a:solidFill>
              <a:srgbClr val="1fb6e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'Receita e Clientes'!$D$5:$AA$5</c:f>
              <c:multiLvlStrCache>
                <c:ptCount val="1"/>
                <c:lvl>
                  <c:pt idx="0">
                    <c:v>M24</c:v>
                  </c:pt>
                </c:lvl>
                <c:lvl>
                  <c:pt idx="0">
                    <c:v>M23</c:v>
                  </c:pt>
                </c:lvl>
                <c:lvl>
                  <c:pt idx="0">
                    <c:v>M22</c:v>
                  </c:pt>
                </c:lvl>
                <c:lvl>
                  <c:pt idx="0">
                    <c:v>M21</c:v>
                  </c:pt>
                </c:lvl>
                <c:lvl>
                  <c:pt idx="0">
                    <c:v>M20</c:v>
                  </c:pt>
                </c:lvl>
                <c:lvl>
                  <c:pt idx="0">
                    <c:v>M19</c:v>
                  </c:pt>
                </c:lvl>
                <c:lvl>
                  <c:pt idx="0">
                    <c:v>M18</c:v>
                  </c:pt>
                </c:lvl>
                <c:lvl>
                  <c:pt idx="0">
                    <c:v>M17</c:v>
                  </c:pt>
                </c:lvl>
                <c:lvl>
                  <c:pt idx="0">
                    <c:v>M16</c:v>
                  </c:pt>
                </c:lvl>
                <c:lvl>
                  <c:pt idx="0">
                    <c:v>M15</c:v>
                  </c:pt>
                </c:lvl>
                <c:lvl>
                  <c:pt idx="0">
                    <c:v>M14</c:v>
                  </c:pt>
                </c:lvl>
                <c:lvl>
                  <c:pt idx="0">
                    <c:v>M13</c:v>
                  </c:pt>
                </c:lvl>
                <c:lvl>
                  <c:pt idx="0">
                    <c:v>M12</c:v>
                  </c:pt>
                </c:lvl>
                <c:lvl>
                  <c:pt idx="0">
                    <c:v>M11</c:v>
                  </c:pt>
                </c:lvl>
                <c:lvl>
                  <c:pt idx="0">
                    <c:v>M10</c:v>
                  </c:pt>
                </c:lvl>
                <c:lvl>
                  <c:pt idx="0">
                    <c:v>M9</c:v>
                  </c:pt>
                </c:lvl>
                <c:lvl>
                  <c:pt idx="0">
                    <c:v>M8</c:v>
                  </c:pt>
                </c:lvl>
                <c:lvl>
                  <c:pt idx="0">
                    <c:v>M7</c:v>
                  </c:pt>
                </c:lvl>
                <c:lvl>
                  <c:pt idx="0">
                    <c:v>M6</c:v>
                  </c:pt>
                </c:lvl>
                <c:lvl>
                  <c:pt idx="0">
                    <c:v>M5</c:v>
                  </c:pt>
                </c:lvl>
                <c:lvl>
                  <c:pt idx="0">
                    <c:v>M4</c:v>
                  </c:pt>
                </c:lvl>
                <c:lvl>
                  <c:pt idx="0">
                    <c:v>M3</c:v>
                  </c:pt>
                </c:lvl>
                <c:lvl>
                  <c:pt idx="0">
                    <c:v>M2</c:v>
                  </c:pt>
                </c:lvl>
                <c:lvl>
                  <c:pt idx="0">
                    <c:v>M1</c:v>
                  </c:pt>
                </c:lvl>
              </c:multiLvlStrCache>
            </c:multiLvlStrRef>
          </c:cat>
          <c:val>
            <c:numRef>
              <c:f>'Receita e Clientes'!$D$15:$AA$15</c:f>
              <c:numCache>
                <c:formatCode>"R$ "#,##0;"(R$ "#,##0\);\-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22500</c:v>
                </c:pt>
                <c:pt idx="4">
                  <c:v>37500</c:v>
                </c:pt>
                <c:pt idx="5">
                  <c:v>45000</c:v>
                </c:pt>
                <c:pt idx="6">
                  <c:v>52500</c:v>
                </c:pt>
                <c:pt idx="7">
                  <c:v>67500</c:v>
                </c:pt>
                <c:pt idx="8">
                  <c:v>75000</c:v>
                </c:pt>
                <c:pt idx="9">
                  <c:v>90000</c:v>
                </c:pt>
                <c:pt idx="10">
                  <c:v>105000</c:v>
                </c:pt>
                <c:pt idx="11">
                  <c:v>120000</c:v>
                </c:pt>
                <c:pt idx="12">
                  <c:v>135000</c:v>
                </c:pt>
                <c:pt idx="13">
                  <c:v>150000</c:v>
                </c:pt>
                <c:pt idx="14">
                  <c:v>165000</c:v>
                </c:pt>
                <c:pt idx="15">
                  <c:v>180000</c:v>
                </c:pt>
                <c:pt idx="16">
                  <c:v>195000</c:v>
                </c:pt>
                <c:pt idx="17">
                  <c:v>210000</c:v>
                </c:pt>
                <c:pt idx="18">
                  <c:v>225000</c:v>
                </c:pt>
                <c:pt idx="19">
                  <c:v>240000</c:v>
                </c:pt>
                <c:pt idx="20">
                  <c:v>255000</c:v>
                </c:pt>
                <c:pt idx="21">
                  <c:v>270000</c:v>
                </c:pt>
                <c:pt idx="22">
                  <c:v>285000</c:v>
                </c:pt>
                <c:pt idx="23">
                  <c:v>300000</c:v>
                </c:pt>
              </c:numCache>
            </c:numRef>
          </c:val>
        </c:ser>
        <c:gapWidth val="150"/>
        <c:overlap val="0"/>
        <c:axId val="27447040"/>
        <c:axId val="99412331"/>
      </c:barChart>
      <c:lineChart>
        <c:grouping val="standard"/>
        <c:varyColors val="0"/>
        <c:ser>
          <c:idx val="1"/>
          <c:order val="1"/>
          <c:tx>
            <c:strRef>
              <c:f>"Clientes pagantes"</c:f>
              <c:strCache>
                <c:ptCount val="1"/>
                <c:pt idx="0">
                  <c:v>Clientes pagantes</c:v>
                </c:pt>
              </c:strCache>
            </c:strRef>
          </c:tx>
          <c:spPr>
            <a:solidFill>
              <a:srgbClr val="6b4fd8"/>
            </a:solidFill>
            <a:ln w="28080">
              <a:solidFill>
                <a:srgbClr val="6b4fd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'Receita e Clientes'!$D$5:$AA$5</c:f>
              <c:multiLvlStrCache>
                <c:ptCount val="1"/>
                <c:lvl>
                  <c:pt idx="0">
                    <c:v>M24</c:v>
                  </c:pt>
                </c:lvl>
                <c:lvl>
                  <c:pt idx="0">
                    <c:v>M23</c:v>
                  </c:pt>
                </c:lvl>
                <c:lvl>
                  <c:pt idx="0">
                    <c:v>M22</c:v>
                  </c:pt>
                </c:lvl>
                <c:lvl>
                  <c:pt idx="0">
                    <c:v>M21</c:v>
                  </c:pt>
                </c:lvl>
                <c:lvl>
                  <c:pt idx="0">
                    <c:v>M20</c:v>
                  </c:pt>
                </c:lvl>
                <c:lvl>
                  <c:pt idx="0">
                    <c:v>M19</c:v>
                  </c:pt>
                </c:lvl>
                <c:lvl>
                  <c:pt idx="0">
                    <c:v>M18</c:v>
                  </c:pt>
                </c:lvl>
                <c:lvl>
                  <c:pt idx="0">
                    <c:v>M17</c:v>
                  </c:pt>
                </c:lvl>
                <c:lvl>
                  <c:pt idx="0">
                    <c:v>M16</c:v>
                  </c:pt>
                </c:lvl>
                <c:lvl>
                  <c:pt idx="0">
                    <c:v>M15</c:v>
                  </c:pt>
                </c:lvl>
                <c:lvl>
                  <c:pt idx="0">
                    <c:v>M14</c:v>
                  </c:pt>
                </c:lvl>
                <c:lvl>
                  <c:pt idx="0">
                    <c:v>M13</c:v>
                  </c:pt>
                </c:lvl>
                <c:lvl>
                  <c:pt idx="0">
                    <c:v>M12</c:v>
                  </c:pt>
                </c:lvl>
                <c:lvl>
                  <c:pt idx="0">
                    <c:v>M11</c:v>
                  </c:pt>
                </c:lvl>
                <c:lvl>
                  <c:pt idx="0">
                    <c:v>M10</c:v>
                  </c:pt>
                </c:lvl>
                <c:lvl>
                  <c:pt idx="0">
                    <c:v>M9</c:v>
                  </c:pt>
                </c:lvl>
                <c:lvl>
                  <c:pt idx="0">
                    <c:v>M8</c:v>
                  </c:pt>
                </c:lvl>
                <c:lvl>
                  <c:pt idx="0">
                    <c:v>M7</c:v>
                  </c:pt>
                </c:lvl>
                <c:lvl>
                  <c:pt idx="0">
                    <c:v>M6</c:v>
                  </c:pt>
                </c:lvl>
                <c:lvl>
                  <c:pt idx="0">
                    <c:v>M5</c:v>
                  </c:pt>
                </c:lvl>
                <c:lvl>
                  <c:pt idx="0">
                    <c:v>M4</c:v>
                  </c:pt>
                </c:lvl>
                <c:lvl>
                  <c:pt idx="0">
                    <c:v>M3</c:v>
                  </c:pt>
                </c:lvl>
                <c:lvl>
                  <c:pt idx="0">
                    <c:v>M2</c:v>
                  </c:pt>
                </c:lvl>
                <c:lvl>
                  <c:pt idx="0">
                    <c:v>M1</c:v>
                  </c:pt>
                </c:lvl>
              </c:multiLvlStrCache>
            </c:multiLvlStrRef>
          </c:cat>
          <c:val>
            <c:numRef>
              <c:f>'Receita e Clientes'!$D$11:$AA$11</c:f>
              <c:numCache>
                <c:formatCode>#,##0.0;\(#,##0.0\);\-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9</c:v>
                </c:pt>
                <c:pt idx="8">
                  <c:v>10</c:v>
                </c:pt>
                <c:pt idx="9">
                  <c:v>12</c:v>
                </c:pt>
                <c:pt idx="10">
                  <c:v>14</c:v>
                </c:pt>
                <c:pt idx="11">
                  <c:v>16</c:v>
                </c:pt>
                <c:pt idx="12">
                  <c:v>18</c:v>
                </c:pt>
                <c:pt idx="13">
                  <c:v>20</c:v>
                </c:pt>
                <c:pt idx="14">
                  <c:v>22</c:v>
                </c:pt>
                <c:pt idx="15">
                  <c:v>24</c:v>
                </c:pt>
                <c:pt idx="16">
                  <c:v>26</c:v>
                </c:pt>
                <c:pt idx="17">
                  <c:v>28</c:v>
                </c:pt>
                <c:pt idx="18">
                  <c:v>30</c:v>
                </c:pt>
                <c:pt idx="19">
                  <c:v>32</c:v>
                </c:pt>
                <c:pt idx="20">
                  <c:v>34</c:v>
                </c:pt>
                <c:pt idx="21">
                  <c:v>36</c:v>
                </c:pt>
                <c:pt idx="22">
                  <c:v>38</c:v>
                </c:pt>
                <c:pt idx="23">
                  <c:v>40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2355184"/>
        <c:axId val="99427793"/>
      </c:lineChart>
      <c:catAx>
        <c:axId val="27447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412331"/>
        <c:crosses val="autoZero"/>
        <c:auto val="1"/>
        <c:lblAlgn val="ctr"/>
        <c:lblOffset val="100"/>
        <c:noMultiLvlLbl val="0"/>
      </c:catAx>
      <c:valAx>
        <c:axId val="9941233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R$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R$ &quot;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447040"/>
        <c:crosses val="autoZero"/>
        <c:crossBetween val="between"/>
      </c:valAx>
      <c:catAx>
        <c:axId val="12355184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427793"/>
        <c:crosses val="autoZero"/>
        <c:auto val="1"/>
        <c:lblAlgn val="ctr"/>
        <c:lblOffset val="100"/>
        <c:noMultiLvlLbl val="0"/>
      </c:catAx>
      <c:valAx>
        <c:axId val="99427793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Clientes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355184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Receita × custos (DRE mensal)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"Receita"</c:f>
              <c:strCache>
                <c:ptCount val="1"/>
                <c:pt idx="0">
                  <c:v>Receita</c:v>
                </c:pt>
              </c:strCache>
            </c:strRef>
          </c:tx>
          <c:spPr>
            <a:solidFill>
              <a:srgbClr val="1fb6e0"/>
            </a:solidFill>
            <a:ln w="24840">
              <a:solidFill>
                <a:srgbClr val="1fb6e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'DRE Mensal'!$D$5:$AA$5</c:f>
              <c:multiLvlStrCache>
                <c:ptCount val="1"/>
                <c:lvl>
                  <c:pt idx="0">
                    <c:v>M24</c:v>
                  </c:pt>
                </c:lvl>
                <c:lvl>
                  <c:pt idx="0">
                    <c:v>M23</c:v>
                  </c:pt>
                </c:lvl>
                <c:lvl>
                  <c:pt idx="0">
                    <c:v>M22</c:v>
                  </c:pt>
                </c:lvl>
                <c:lvl>
                  <c:pt idx="0">
                    <c:v>M21</c:v>
                  </c:pt>
                </c:lvl>
                <c:lvl>
                  <c:pt idx="0">
                    <c:v>M20</c:v>
                  </c:pt>
                </c:lvl>
                <c:lvl>
                  <c:pt idx="0">
                    <c:v>M19</c:v>
                  </c:pt>
                </c:lvl>
                <c:lvl>
                  <c:pt idx="0">
                    <c:v>M18</c:v>
                  </c:pt>
                </c:lvl>
                <c:lvl>
                  <c:pt idx="0">
                    <c:v>M17</c:v>
                  </c:pt>
                </c:lvl>
                <c:lvl>
                  <c:pt idx="0">
                    <c:v>M16</c:v>
                  </c:pt>
                </c:lvl>
                <c:lvl>
                  <c:pt idx="0">
                    <c:v>M15</c:v>
                  </c:pt>
                </c:lvl>
                <c:lvl>
                  <c:pt idx="0">
                    <c:v>M14</c:v>
                  </c:pt>
                </c:lvl>
                <c:lvl>
                  <c:pt idx="0">
                    <c:v>M13</c:v>
                  </c:pt>
                </c:lvl>
                <c:lvl>
                  <c:pt idx="0">
                    <c:v>M12</c:v>
                  </c:pt>
                </c:lvl>
                <c:lvl>
                  <c:pt idx="0">
                    <c:v>M11</c:v>
                  </c:pt>
                </c:lvl>
                <c:lvl>
                  <c:pt idx="0">
                    <c:v>M10</c:v>
                  </c:pt>
                </c:lvl>
                <c:lvl>
                  <c:pt idx="0">
                    <c:v>M9</c:v>
                  </c:pt>
                </c:lvl>
                <c:lvl>
                  <c:pt idx="0">
                    <c:v>M8</c:v>
                  </c:pt>
                </c:lvl>
                <c:lvl>
                  <c:pt idx="0">
                    <c:v>M7</c:v>
                  </c:pt>
                </c:lvl>
                <c:lvl>
                  <c:pt idx="0">
                    <c:v>M6</c:v>
                  </c:pt>
                </c:lvl>
                <c:lvl>
                  <c:pt idx="0">
                    <c:v>M5</c:v>
                  </c:pt>
                </c:lvl>
                <c:lvl>
                  <c:pt idx="0">
                    <c:v>M4</c:v>
                  </c:pt>
                </c:lvl>
                <c:lvl>
                  <c:pt idx="0">
                    <c:v>M3</c:v>
                  </c:pt>
                </c:lvl>
                <c:lvl>
                  <c:pt idx="0">
                    <c:v>M2</c:v>
                  </c:pt>
                </c:lvl>
                <c:lvl>
                  <c:pt idx="0">
                    <c:v>M1</c:v>
                  </c:pt>
                </c:lvl>
              </c:multiLvlStrCache>
            </c:multiLvlStrRef>
          </c:cat>
          <c:val>
            <c:numRef>
              <c:f>'DRE Mensal'!$D$7:$AA$7</c:f>
              <c:numCache>
                <c:formatCode>"R$ "#,##0;"(R$ "#,##0\);\-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22500</c:v>
                </c:pt>
                <c:pt idx="4">
                  <c:v>37500</c:v>
                </c:pt>
                <c:pt idx="5">
                  <c:v>45000</c:v>
                </c:pt>
                <c:pt idx="6">
                  <c:v>52500</c:v>
                </c:pt>
                <c:pt idx="7">
                  <c:v>67500</c:v>
                </c:pt>
                <c:pt idx="8">
                  <c:v>75000</c:v>
                </c:pt>
                <c:pt idx="9">
                  <c:v>90000</c:v>
                </c:pt>
                <c:pt idx="10">
                  <c:v>105000</c:v>
                </c:pt>
                <c:pt idx="11">
                  <c:v>120000</c:v>
                </c:pt>
                <c:pt idx="12">
                  <c:v>135000</c:v>
                </c:pt>
                <c:pt idx="13">
                  <c:v>150000</c:v>
                </c:pt>
                <c:pt idx="14">
                  <c:v>165000</c:v>
                </c:pt>
                <c:pt idx="15">
                  <c:v>180000</c:v>
                </c:pt>
                <c:pt idx="16">
                  <c:v>195000</c:v>
                </c:pt>
                <c:pt idx="17">
                  <c:v>210000</c:v>
                </c:pt>
                <c:pt idx="18">
                  <c:v>225000</c:v>
                </c:pt>
                <c:pt idx="19">
                  <c:v>240000</c:v>
                </c:pt>
                <c:pt idx="20">
                  <c:v>255000</c:v>
                </c:pt>
                <c:pt idx="21">
                  <c:v>270000</c:v>
                </c:pt>
                <c:pt idx="22">
                  <c:v>285000</c:v>
                </c:pt>
                <c:pt idx="23">
                  <c:v>300000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"Custos variáveis"</c:f>
              <c:strCache>
                <c:ptCount val="1"/>
                <c:pt idx="0">
                  <c:v>Custos variáveis</c:v>
                </c:pt>
              </c:strCache>
            </c:strRef>
          </c:tx>
          <c:spPr>
            <a:solidFill>
              <a:srgbClr val="f2a541"/>
            </a:solidFill>
            <a:ln w="24840">
              <a:solidFill>
                <a:srgbClr val="f2a54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'DRE Mensal'!$D$5:$AA$5</c:f>
              <c:multiLvlStrCache>
                <c:ptCount val="1"/>
                <c:lvl>
                  <c:pt idx="0">
                    <c:v>M24</c:v>
                  </c:pt>
                </c:lvl>
                <c:lvl>
                  <c:pt idx="0">
                    <c:v>M23</c:v>
                  </c:pt>
                </c:lvl>
                <c:lvl>
                  <c:pt idx="0">
                    <c:v>M22</c:v>
                  </c:pt>
                </c:lvl>
                <c:lvl>
                  <c:pt idx="0">
                    <c:v>M21</c:v>
                  </c:pt>
                </c:lvl>
                <c:lvl>
                  <c:pt idx="0">
                    <c:v>M20</c:v>
                  </c:pt>
                </c:lvl>
                <c:lvl>
                  <c:pt idx="0">
                    <c:v>M19</c:v>
                  </c:pt>
                </c:lvl>
                <c:lvl>
                  <c:pt idx="0">
                    <c:v>M18</c:v>
                  </c:pt>
                </c:lvl>
                <c:lvl>
                  <c:pt idx="0">
                    <c:v>M17</c:v>
                  </c:pt>
                </c:lvl>
                <c:lvl>
                  <c:pt idx="0">
                    <c:v>M16</c:v>
                  </c:pt>
                </c:lvl>
                <c:lvl>
                  <c:pt idx="0">
                    <c:v>M15</c:v>
                  </c:pt>
                </c:lvl>
                <c:lvl>
                  <c:pt idx="0">
                    <c:v>M14</c:v>
                  </c:pt>
                </c:lvl>
                <c:lvl>
                  <c:pt idx="0">
                    <c:v>M13</c:v>
                  </c:pt>
                </c:lvl>
                <c:lvl>
                  <c:pt idx="0">
                    <c:v>M12</c:v>
                  </c:pt>
                </c:lvl>
                <c:lvl>
                  <c:pt idx="0">
                    <c:v>M11</c:v>
                  </c:pt>
                </c:lvl>
                <c:lvl>
                  <c:pt idx="0">
                    <c:v>M10</c:v>
                  </c:pt>
                </c:lvl>
                <c:lvl>
                  <c:pt idx="0">
                    <c:v>M9</c:v>
                  </c:pt>
                </c:lvl>
                <c:lvl>
                  <c:pt idx="0">
                    <c:v>M8</c:v>
                  </c:pt>
                </c:lvl>
                <c:lvl>
                  <c:pt idx="0">
                    <c:v>M7</c:v>
                  </c:pt>
                </c:lvl>
                <c:lvl>
                  <c:pt idx="0">
                    <c:v>M6</c:v>
                  </c:pt>
                </c:lvl>
                <c:lvl>
                  <c:pt idx="0">
                    <c:v>M5</c:v>
                  </c:pt>
                </c:lvl>
                <c:lvl>
                  <c:pt idx="0">
                    <c:v>M4</c:v>
                  </c:pt>
                </c:lvl>
                <c:lvl>
                  <c:pt idx="0">
                    <c:v>M3</c:v>
                  </c:pt>
                </c:lvl>
                <c:lvl>
                  <c:pt idx="0">
                    <c:v>M2</c:v>
                  </c:pt>
                </c:lvl>
                <c:lvl>
                  <c:pt idx="0">
                    <c:v>M1</c:v>
                  </c:pt>
                </c:lvl>
              </c:multiLvlStrCache>
            </c:multiLvlStrRef>
          </c:cat>
          <c:val>
            <c:numRef>
              <c:f>'DRE Mensal'!$D$8:$AA$8</c:f>
              <c:numCache>
                <c:formatCode>"R$ "#,##0;"(R$ "#,##0\);\-</c:formatCode>
                <c:ptCount val="24"/>
                <c:pt idx="0">
                  <c:v>450</c:v>
                </c:pt>
                <c:pt idx="1">
                  <c:v>450</c:v>
                </c:pt>
                <c:pt idx="2">
                  <c:v>450</c:v>
                </c:pt>
                <c:pt idx="3">
                  <c:v>5296.5</c:v>
                </c:pt>
                <c:pt idx="4">
                  <c:v>8827.5</c:v>
                </c:pt>
                <c:pt idx="5">
                  <c:v>10593</c:v>
                </c:pt>
                <c:pt idx="6">
                  <c:v>12546</c:v>
                </c:pt>
                <c:pt idx="7">
                  <c:v>16452</c:v>
                </c:pt>
                <c:pt idx="8">
                  <c:v>18530</c:v>
                </c:pt>
                <c:pt idx="9">
                  <c:v>22558.5</c:v>
                </c:pt>
                <c:pt idx="10">
                  <c:v>26695.8461538462</c:v>
                </c:pt>
                <c:pt idx="11">
                  <c:v>30848</c:v>
                </c:pt>
                <c:pt idx="12">
                  <c:v>35005.8292682927</c:v>
                </c:pt>
                <c:pt idx="13">
                  <c:v>39390</c:v>
                </c:pt>
                <c:pt idx="14">
                  <c:v>43956</c:v>
                </c:pt>
                <c:pt idx="15">
                  <c:v>48481.8591549296</c:v>
                </c:pt>
                <c:pt idx="16">
                  <c:v>52925.3926380368</c:v>
                </c:pt>
                <c:pt idx="17">
                  <c:v>57331.8260869565</c:v>
                </c:pt>
                <c:pt idx="18">
                  <c:v>61724.7087378641</c:v>
                </c:pt>
                <c:pt idx="19">
                  <c:v>66106.480349345</c:v>
                </c:pt>
                <c:pt idx="20">
                  <c:v>70773.4285714286</c:v>
                </c:pt>
                <c:pt idx="21">
                  <c:v>75708</c:v>
                </c:pt>
                <c:pt idx="22">
                  <c:v>80598</c:v>
                </c:pt>
                <c:pt idx="23">
                  <c:v>85453.3333333333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"Custos fixos"</c:f>
              <c:strCache>
                <c:ptCount val="1"/>
                <c:pt idx="0">
                  <c:v>Custos fixos</c:v>
                </c:pt>
              </c:strCache>
            </c:strRef>
          </c:tx>
          <c:spPr>
            <a:solidFill>
              <a:srgbClr val="e4572e"/>
            </a:solidFill>
            <a:ln w="24840">
              <a:solidFill>
                <a:srgbClr val="e4572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'DRE Mensal'!$D$5:$AA$5</c:f>
              <c:multiLvlStrCache>
                <c:ptCount val="1"/>
                <c:lvl>
                  <c:pt idx="0">
                    <c:v>M24</c:v>
                  </c:pt>
                </c:lvl>
                <c:lvl>
                  <c:pt idx="0">
                    <c:v>M23</c:v>
                  </c:pt>
                </c:lvl>
                <c:lvl>
                  <c:pt idx="0">
                    <c:v>M22</c:v>
                  </c:pt>
                </c:lvl>
                <c:lvl>
                  <c:pt idx="0">
                    <c:v>M21</c:v>
                  </c:pt>
                </c:lvl>
                <c:lvl>
                  <c:pt idx="0">
                    <c:v>M20</c:v>
                  </c:pt>
                </c:lvl>
                <c:lvl>
                  <c:pt idx="0">
                    <c:v>M19</c:v>
                  </c:pt>
                </c:lvl>
                <c:lvl>
                  <c:pt idx="0">
                    <c:v>M18</c:v>
                  </c:pt>
                </c:lvl>
                <c:lvl>
                  <c:pt idx="0">
                    <c:v>M17</c:v>
                  </c:pt>
                </c:lvl>
                <c:lvl>
                  <c:pt idx="0">
                    <c:v>M16</c:v>
                  </c:pt>
                </c:lvl>
                <c:lvl>
                  <c:pt idx="0">
                    <c:v>M15</c:v>
                  </c:pt>
                </c:lvl>
                <c:lvl>
                  <c:pt idx="0">
                    <c:v>M14</c:v>
                  </c:pt>
                </c:lvl>
                <c:lvl>
                  <c:pt idx="0">
                    <c:v>M13</c:v>
                  </c:pt>
                </c:lvl>
                <c:lvl>
                  <c:pt idx="0">
                    <c:v>M12</c:v>
                  </c:pt>
                </c:lvl>
                <c:lvl>
                  <c:pt idx="0">
                    <c:v>M11</c:v>
                  </c:pt>
                </c:lvl>
                <c:lvl>
                  <c:pt idx="0">
                    <c:v>M10</c:v>
                  </c:pt>
                </c:lvl>
                <c:lvl>
                  <c:pt idx="0">
                    <c:v>M9</c:v>
                  </c:pt>
                </c:lvl>
                <c:lvl>
                  <c:pt idx="0">
                    <c:v>M8</c:v>
                  </c:pt>
                </c:lvl>
                <c:lvl>
                  <c:pt idx="0">
                    <c:v>M7</c:v>
                  </c:pt>
                </c:lvl>
                <c:lvl>
                  <c:pt idx="0">
                    <c:v>M6</c:v>
                  </c:pt>
                </c:lvl>
                <c:lvl>
                  <c:pt idx="0">
                    <c:v>M5</c:v>
                  </c:pt>
                </c:lvl>
                <c:lvl>
                  <c:pt idx="0">
                    <c:v>M4</c:v>
                  </c:pt>
                </c:lvl>
                <c:lvl>
                  <c:pt idx="0">
                    <c:v>M3</c:v>
                  </c:pt>
                </c:lvl>
                <c:lvl>
                  <c:pt idx="0">
                    <c:v>M2</c:v>
                  </c:pt>
                </c:lvl>
                <c:lvl>
                  <c:pt idx="0">
                    <c:v>M1</c:v>
                  </c:pt>
                </c:lvl>
              </c:multiLvlStrCache>
            </c:multiLvlStrRef>
          </c:cat>
          <c:val>
            <c:numRef>
              <c:f>'DRE Mensal'!$D$15:$AA$15</c:f>
              <c:numCache>
                <c:formatCode>"R$ "#,##0;"(R$ "#,##0\);\-</c:formatCode>
                <c:ptCount val="24"/>
                <c:pt idx="0">
                  <c:v>2601.66666666667</c:v>
                </c:pt>
                <c:pt idx="1">
                  <c:v>2601.66666666667</c:v>
                </c:pt>
                <c:pt idx="2">
                  <c:v>2601.66666666667</c:v>
                </c:pt>
                <c:pt idx="3">
                  <c:v>7101.66666666667</c:v>
                </c:pt>
                <c:pt idx="4">
                  <c:v>13101.6666666667</c:v>
                </c:pt>
                <c:pt idx="5">
                  <c:v>10101.6666666667</c:v>
                </c:pt>
                <c:pt idx="6">
                  <c:v>10101.6666666667</c:v>
                </c:pt>
                <c:pt idx="7">
                  <c:v>13101.6666666667</c:v>
                </c:pt>
                <c:pt idx="8">
                  <c:v>10101.6666666667</c:v>
                </c:pt>
                <c:pt idx="9">
                  <c:v>20101.6666666667</c:v>
                </c:pt>
                <c:pt idx="10">
                  <c:v>20101.6666666667</c:v>
                </c:pt>
                <c:pt idx="11">
                  <c:v>20101.6666666667</c:v>
                </c:pt>
                <c:pt idx="12">
                  <c:v>20101.6666666667</c:v>
                </c:pt>
                <c:pt idx="13">
                  <c:v>20101.6666666667</c:v>
                </c:pt>
                <c:pt idx="14">
                  <c:v>20101.6666666667</c:v>
                </c:pt>
                <c:pt idx="15">
                  <c:v>20101.6666666667</c:v>
                </c:pt>
                <c:pt idx="16">
                  <c:v>20101.6666666667</c:v>
                </c:pt>
                <c:pt idx="17">
                  <c:v>20101.6666666667</c:v>
                </c:pt>
                <c:pt idx="18">
                  <c:v>25101.6666666667</c:v>
                </c:pt>
                <c:pt idx="19">
                  <c:v>25101.6666666667</c:v>
                </c:pt>
                <c:pt idx="20">
                  <c:v>25101.6666666667</c:v>
                </c:pt>
                <c:pt idx="21">
                  <c:v>25101.6666666667</c:v>
                </c:pt>
                <c:pt idx="22">
                  <c:v>25101.6666666667</c:v>
                </c:pt>
                <c:pt idx="23">
                  <c:v>25101.6666666667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700469"/>
        <c:axId val="55084769"/>
      </c:lineChart>
      <c:catAx>
        <c:axId val="370046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084769"/>
        <c:crosses val="autoZero"/>
        <c:auto val="1"/>
        <c:lblAlgn val="ctr"/>
        <c:lblOffset val="100"/>
        <c:noMultiLvlLbl val="0"/>
      </c:catAx>
      <c:valAx>
        <c:axId val="5508476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R$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R$ &quot;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0046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Lucro ou prejuízo? Resultado líquido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"Resultado líquido do mês"</c:f>
              <c:strCache>
                <c:ptCount val="1"/>
                <c:pt idx="0">
                  <c:v>Resultado líquido do mês</c:v>
                </c:pt>
              </c:strCache>
            </c:strRef>
          </c:tx>
          <c:spPr>
            <a:solidFill>
              <a:srgbClr val="14213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'DRE Mensal'!$D$5:$AA$5</c:f>
              <c:multiLvlStrCache>
                <c:ptCount val="1"/>
                <c:lvl>
                  <c:pt idx="0">
                    <c:v>M24</c:v>
                  </c:pt>
                </c:lvl>
                <c:lvl>
                  <c:pt idx="0">
                    <c:v>M23</c:v>
                  </c:pt>
                </c:lvl>
                <c:lvl>
                  <c:pt idx="0">
                    <c:v>M22</c:v>
                  </c:pt>
                </c:lvl>
                <c:lvl>
                  <c:pt idx="0">
                    <c:v>M21</c:v>
                  </c:pt>
                </c:lvl>
                <c:lvl>
                  <c:pt idx="0">
                    <c:v>M20</c:v>
                  </c:pt>
                </c:lvl>
                <c:lvl>
                  <c:pt idx="0">
                    <c:v>M19</c:v>
                  </c:pt>
                </c:lvl>
                <c:lvl>
                  <c:pt idx="0">
                    <c:v>M18</c:v>
                  </c:pt>
                </c:lvl>
                <c:lvl>
                  <c:pt idx="0">
                    <c:v>M17</c:v>
                  </c:pt>
                </c:lvl>
                <c:lvl>
                  <c:pt idx="0">
                    <c:v>M16</c:v>
                  </c:pt>
                </c:lvl>
                <c:lvl>
                  <c:pt idx="0">
                    <c:v>M15</c:v>
                  </c:pt>
                </c:lvl>
                <c:lvl>
                  <c:pt idx="0">
                    <c:v>M14</c:v>
                  </c:pt>
                </c:lvl>
                <c:lvl>
                  <c:pt idx="0">
                    <c:v>M13</c:v>
                  </c:pt>
                </c:lvl>
                <c:lvl>
                  <c:pt idx="0">
                    <c:v>M12</c:v>
                  </c:pt>
                </c:lvl>
                <c:lvl>
                  <c:pt idx="0">
                    <c:v>M11</c:v>
                  </c:pt>
                </c:lvl>
                <c:lvl>
                  <c:pt idx="0">
                    <c:v>M10</c:v>
                  </c:pt>
                </c:lvl>
                <c:lvl>
                  <c:pt idx="0">
                    <c:v>M9</c:v>
                  </c:pt>
                </c:lvl>
                <c:lvl>
                  <c:pt idx="0">
                    <c:v>M8</c:v>
                  </c:pt>
                </c:lvl>
                <c:lvl>
                  <c:pt idx="0">
                    <c:v>M7</c:v>
                  </c:pt>
                </c:lvl>
                <c:lvl>
                  <c:pt idx="0">
                    <c:v>M6</c:v>
                  </c:pt>
                </c:lvl>
                <c:lvl>
                  <c:pt idx="0">
                    <c:v>M5</c:v>
                  </c:pt>
                </c:lvl>
                <c:lvl>
                  <c:pt idx="0">
                    <c:v>M4</c:v>
                  </c:pt>
                </c:lvl>
                <c:lvl>
                  <c:pt idx="0">
                    <c:v>M3</c:v>
                  </c:pt>
                </c:lvl>
                <c:lvl>
                  <c:pt idx="0">
                    <c:v>M2</c:v>
                  </c:pt>
                </c:lvl>
                <c:lvl>
                  <c:pt idx="0">
                    <c:v>M1</c:v>
                  </c:pt>
                </c:lvl>
              </c:multiLvlStrCache>
            </c:multiLvlStrRef>
          </c:cat>
          <c:val>
            <c:numRef>
              <c:f>'DRE Mensal'!$D$23:$AA$23</c:f>
              <c:numCache>
                <c:formatCode>"R$ "#,##0;"(R$ "#,##0\);\-</c:formatCode>
                <c:ptCount val="24"/>
                <c:pt idx="0">
                  <c:v>-8235.66666666667</c:v>
                </c:pt>
                <c:pt idx="1">
                  <c:v>-3018.81866666667</c:v>
                </c:pt>
                <c:pt idx="2">
                  <c:v>-3042.15588266667</c:v>
                </c:pt>
                <c:pt idx="3">
                  <c:v>10087.8202036053</c:v>
                </c:pt>
                <c:pt idx="4">
                  <c:v>15517.8360985675</c:v>
                </c:pt>
                <c:pt idx="5">
                  <c:v>24283.0921206894</c:v>
                </c:pt>
                <c:pt idx="6">
                  <c:v>29978.0701909882</c:v>
                </c:pt>
                <c:pt idx="7">
                  <c:v>38267.1080858495</c:v>
                </c:pt>
                <c:pt idx="8">
                  <c:v>46904.8582838696</c:v>
                </c:pt>
                <c:pt idx="9">
                  <c:v>48207.8104834739</c:v>
                </c:pt>
                <c:pt idx="10">
                  <c:v>59403.1201468289</c:v>
                </c:pt>
                <c:pt idx="11">
                  <c:v>70637.6553644138</c:v>
                </c:pt>
                <c:pt idx="12">
                  <c:v>81956.5099031389</c:v>
                </c:pt>
                <c:pt idx="13">
                  <c:v>93139.6192181364</c:v>
                </c:pt>
                <c:pt idx="14">
                  <c:v>104232.174871068</c:v>
                </c:pt>
                <c:pt idx="15">
                  <c:v>115455.066448441</c:v>
                </c:pt>
                <c:pt idx="16">
                  <c:v>126849.745703494</c:v>
                </c:pt>
                <c:pt idx="17">
                  <c:v>138372.0238214</c:v>
                </c:pt>
                <c:pt idx="18">
                  <c:v>144999.734161989</c:v>
                </c:pt>
                <c:pt idx="19">
                  <c:v>156712.268818344</c:v>
                </c:pt>
                <c:pt idx="20">
                  <c:v>168212.438253033</c:v>
                </c:pt>
                <c:pt idx="21">
                  <c:v>179539.267249595</c:v>
                </c:pt>
                <c:pt idx="22">
                  <c:v>191003.423292354</c:v>
                </c:pt>
                <c:pt idx="23">
                  <c:v>202593.602678693</c:v>
                </c:pt>
              </c:numCache>
            </c:numRef>
          </c:val>
        </c:ser>
        <c:gapWidth val="150"/>
        <c:overlap val="0"/>
        <c:axId val="17913391"/>
        <c:axId val="18549071"/>
      </c:barChart>
      <c:lineChart>
        <c:grouping val="standard"/>
        <c:varyColors val="0"/>
        <c:ser>
          <c:idx val="1"/>
          <c:order val="1"/>
          <c:tx>
            <c:strRef>
              <c:f>"Resultado acumulado"</c:f>
              <c:strCache>
                <c:ptCount val="1"/>
                <c:pt idx="0">
                  <c:v>Resultado acumulado</c:v>
                </c:pt>
              </c:strCache>
            </c:strRef>
          </c:tx>
          <c:spPr>
            <a:solidFill>
              <a:srgbClr val="6b4fd8"/>
            </a:solidFill>
            <a:ln w="28440">
              <a:solidFill>
                <a:srgbClr val="6b4fd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'DRE Mensal'!$D$5:$AA$5</c:f>
              <c:multiLvlStrCache>
                <c:ptCount val="1"/>
                <c:lvl>
                  <c:pt idx="0">
                    <c:v>M24</c:v>
                  </c:pt>
                </c:lvl>
                <c:lvl>
                  <c:pt idx="0">
                    <c:v>M23</c:v>
                  </c:pt>
                </c:lvl>
                <c:lvl>
                  <c:pt idx="0">
                    <c:v>M22</c:v>
                  </c:pt>
                </c:lvl>
                <c:lvl>
                  <c:pt idx="0">
                    <c:v>M21</c:v>
                  </c:pt>
                </c:lvl>
                <c:lvl>
                  <c:pt idx="0">
                    <c:v>M20</c:v>
                  </c:pt>
                </c:lvl>
                <c:lvl>
                  <c:pt idx="0">
                    <c:v>M19</c:v>
                  </c:pt>
                </c:lvl>
                <c:lvl>
                  <c:pt idx="0">
                    <c:v>M18</c:v>
                  </c:pt>
                </c:lvl>
                <c:lvl>
                  <c:pt idx="0">
                    <c:v>M17</c:v>
                  </c:pt>
                </c:lvl>
                <c:lvl>
                  <c:pt idx="0">
                    <c:v>M16</c:v>
                  </c:pt>
                </c:lvl>
                <c:lvl>
                  <c:pt idx="0">
                    <c:v>M15</c:v>
                  </c:pt>
                </c:lvl>
                <c:lvl>
                  <c:pt idx="0">
                    <c:v>M14</c:v>
                  </c:pt>
                </c:lvl>
                <c:lvl>
                  <c:pt idx="0">
                    <c:v>M13</c:v>
                  </c:pt>
                </c:lvl>
                <c:lvl>
                  <c:pt idx="0">
                    <c:v>M12</c:v>
                  </c:pt>
                </c:lvl>
                <c:lvl>
                  <c:pt idx="0">
                    <c:v>M11</c:v>
                  </c:pt>
                </c:lvl>
                <c:lvl>
                  <c:pt idx="0">
                    <c:v>M10</c:v>
                  </c:pt>
                </c:lvl>
                <c:lvl>
                  <c:pt idx="0">
                    <c:v>M9</c:v>
                  </c:pt>
                </c:lvl>
                <c:lvl>
                  <c:pt idx="0">
                    <c:v>M8</c:v>
                  </c:pt>
                </c:lvl>
                <c:lvl>
                  <c:pt idx="0">
                    <c:v>M7</c:v>
                  </c:pt>
                </c:lvl>
                <c:lvl>
                  <c:pt idx="0">
                    <c:v>M6</c:v>
                  </c:pt>
                </c:lvl>
                <c:lvl>
                  <c:pt idx="0">
                    <c:v>M5</c:v>
                  </c:pt>
                </c:lvl>
                <c:lvl>
                  <c:pt idx="0">
                    <c:v>M4</c:v>
                  </c:pt>
                </c:lvl>
                <c:lvl>
                  <c:pt idx="0">
                    <c:v>M3</c:v>
                  </c:pt>
                </c:lvl>
                <c:lvl>
                  <c:pt idx="0">
                    <c:v>M2</c:v>
                  </c:pt>
                </c:lvl>
                <c:lvl>
                  <c:pt idx="0">
                    <c:v>M1</c:v>
                  </c:pt>
                </c:lvl>
              </c:multiLvlStrCache>
            </c:multiLvlStrRef>
          </c:cat>
          <c:val>
            <c:numRef>
              <c:f>'DRE Mensal'!$D$25:$AA$25</c:f>
              <c:numCache>
                <c:formatCode>"R$ "#,##0;"(R$ "#,##0\);\-</c:formatCode>
                <c:ptCount val="24"/>
                <c:pt idx="0">
                  <c:v>-8235.66666666667</c:v>
                </c:pt>
                <c:pt idx="1">
                  <c:v>-11254.4853333333</c:v>
                </c:pt>
                <c:pt idx="2">
                  <c:v>-14296.641216</c:v>
                </c:pt>
                <c:pt idx="3">
                  <c:v>-4208.82101239467</c:v>
                </c:pt>
                <c:pt idx="4">
                  <c:v>11309.0150861728</c:v>
                </c:pt>
                <c:pt idx="5">
                  <c:v>35592.1072068622</c:v>
                </c:pt>
                <c:pt idx="6">
                  <c:v>65570.1773978505</c:v>
                </c:pt>
                <c:pt idx="7">
                  <c:v>103837.2854837</c:v>
                </c:pt>
                <c:pt idx="8">
                  <c:v>150742.14376757</c:v>
                </c:pt>
                <c:pt idx="9">
                  <c:v>198949.954251043</c:v>
                </c:pt>
                <c:pt idx="10">
                  <c:v>258353.074397872</c:v>
                </c:pt>
                <c:pt idx="11">
                  <c:v>328990.729762286</c:v>
                </c:pt>
                <c:pt idx="12">
                  <c:v>410947.239665425</c:v>
                </c:pt>
                <c:pt idx="13">
                  <c:v>504086.858883561</c:v>
                </c:pt>
                <c:pt idx="14">
                  <c:v>608319.03375463</c:v>
                </c:pt>
                <c:pt idx="15">
                  <c:v>723774.100203071</c:v>
                </c:pt>
                <c:pt idx="16">
                  <c:v>850623.845906564</c:v>
                </c:pt>
                <c:pt idx="17">
                  <c:v>988995.869727965</c:v>
                </c:pt>
                <c:pt idx="18">
                  <c:v>1133995.60388995</c:v>
                </c:pt>
                <c:pt idx="19">
                  <c:v>1290707.8727083</c:v>
                </c:pt>
                <c:pt idx="20">
                  <c:v>1458920.31096133</c:v>
                </c:pt>
                <c:pt idx="21">
                  <c:v>1638459.57821093</c:v>
                </c:pt>
                <c:pt idx="22">
                  <c:v>1829463.00150328</c:v>
                </c:pt>
                <c:pt idx="23">
                  <c:v>2032056.60418197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3246722"/>
        <c:axId val="36853468"/>
      </c:lineChart>
      <c:catAx>
        <c:axId val="17913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549071"/>
        <c:crosses val="autoZero"/>
        <c:auto val="1"/>
        <c:lblAlgn val="ctr"/>
        <c:lblOffset val="100"/>
        <c:noMultiLvlLbl val="0"/>
      </c:catAx>
      <c:valAx>
        <c:axId val="1854907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R$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R$ &quot;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913391"/>
        <c:crosses val="autoZero"/>
        <c:crossBetween val="between"/>
      </c:valAx>
      <c:catAx>
        <c:axId val="53246722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853468"/>
        <c:crosses val="autoZero"/>
        <c:auto val="1"/>
        <c:lblAlgn val="ctr"/>
        <c:lblOffset val="100"/>
        <c:noMultiLvlLbl val="0"/>
      </c:catAx>
      <c:valAx>
        <c:axId val="36853468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Acumulado (R$ mil)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,\k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246722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Está acumulando dinheiro? Saldo de caixa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"Saldo final de caixa"</c:f>
              <c:strCache>
                <c:ptCount val="1"/>
                <c:pt idx="0">
                  <c:v>Saldo final de caixa</c:v>
                </c:pt>
              </c:strCache>
            </c:strRef>
          </c:tx>
          <c:spPr>
            <a:solidFill>
              <a:srgbClr val="2f9e6b"/>
            </a:solidFill>
            <a:ln w="29880">
              <a:solidFill>
                <a:srgbClr val="2f9e6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'Fluxo de Caixa'!$C$5:$AA$5</c:f>
              <c:multiLvlStrCache>
                <c:ptCount val="1"/>
                <c:lvl>
                  <c:pt idx="0">
                    <c:v>M24</c:v>
                  </c:pt>
                </c:lvl>
                <c:lvl>
                  <c:pt idx="0">
                    <c:v>M23</c:v>
                  </c:pt>
                </c:lvl>
                <c:lvl>
                  <c:pt idx="0">
                    <c:v>M22</c:v>
                  </c:pt>
                </c:lvl>
                <c:lvl>
                  <c:pt idx="0">
                    <c:v>M21</c:v>
                  </c:pt>
                </c:lvl>
                <c:lvl>
                  <c:pt idx="0">
                    <c:v>M20</c:v>
                  </c:pt>
                </c:lvl>
                <c:lvl>
                  <c:pt idx="0">
                    <c:v>M19</c:v>
                  </c:pt>
                </c:lvl>
                <c:lvl>
                  <c:pt idx="0">
                    <c:v>M18</c:v>
                  </c:pt>
                </c:lvl>
                <c:lvl>
                  <c:pt idx="0">
                    <c:v>M17</c:v>
                  </c:pt>
                </c:lvl>
                <c:lvl>
                  <c:pt idx="0">
                    <c:v>M16</c:v>
                  </c:pt>
                </c:lvl>
                <c:lvl>
                  <c:pt idx="0">
                    <c:v>M15</c:v>
                  </c:pt>
                </c:lvl>
                <c:lvl>
                  <c:pt idx="0">
                    <c:v>M14</c:v>
                  </c:pt>
                </c:lvl>
                <c:lvl>
                  <c:pt idx="0">
                    <c:v>M13</c:v>
                  </c:pt>
                </c:lvl>
                <c:lvl>
                  <c:pt idx="0">
                    <c:v>M12</c:v>
                  </c:pt>
                </c:lvl>
                <c:lvl>
                  <c:pt idx="0">
                    <c:v>M11</c:v>
                  </c:pt>
                </c:lvl>
                <c:lvl>
                  <c:pt idx="0">
                    <c:v>M10</c:v>
                  </c:pt>
                </c:lvl>
                <c:lvl>
                  <c:pt idx="0">
                    <c:v>M9</c:v>
                  </c:pt>
                </c:lvl>
                <c:lvl>
                  <c:pt idx="0">
                    <c:v>M8</c:v>
                  </c:pt>
                </c:lvl>
                <c:lvl>
                  <c:pt idx="0">
                    <c:v>M7</c:v>
                  </c:pt>
                </c:lvl>
                <c:lvl>
                  <c:pt idx="0">
                    <c:v>M6</c:v>
                  </c:pt>
                </c:lvl>
                <c:lvl>
                  <c:pt idx="0">
                    <c:v>M5</c:v>
                  </c:pt>
                </c:lvl>
                <c:lvl>
                  <c:pt idx="0">
                    <c:v>M4</c:v>
                  </c:pt>
                </c:lvl>
                <c:lvl>
                  <c:pt idx="0">
                    <c:v>M3</c:v>
                  </c:pt>
                </c:lvl>
                <c:lvl>
                  <c:pt idx="0">
                    <c:v>M2</c:v>
                  </c:pt>
                </c:lvl>
                <c:lvl>
                  <c:pt idx="0">
                    <c:v>M1</c:v>
                  </c:pt>
                </c:lvl>
                <c:lvl>
                  <c:pt idx="0">
                    <c:v>M0 (pré)</c:v>
                  </c:pt>
                </c:lvl>
              </c:multiLvlStrCache>
            </c:multiLvlStrRef>
          </c:cat>
          <c:val>
            <c:numRef>
              <c:f>'Fluxo de Caixa'!$C$24:$AA$24</c:f>
              <c:numCache>
                <c:formatCode>"R$ "#,##0;"(R$ "#,##0\);\-</c:formatCode>
                <c:ptCount val="25"/>
                <c:pt idx="0">
                  <c:v>14500</c:v>
                </c:pt>
                <c:pt idx="1">
                  <c:v>11606</c:v>
                </c:pt>
                <c:pt idx="2">
                  <c:v>8688.848</c:v>
                </c:pt>
                <c:pt idx="3">
                  <c:v>5748.358784</c:v>
                </c:pt>
                <c:pt idx="4">
                  <c:v>875.345654272</c:v>
                </c:pt>
                <c:pt idx="5">
                  <c:v>4719.84841950618</c:v>
                </c:pt>
                <c:pt idx="6">
                  <c:v>23217.1072068622</c:v>
                </c:pt>
                <c:pt idx="7">
                  <c:v>47596.8440645171</c:v>
                </c:pt>
                <c:pt idx="8">
                  <c:v>74565.6188170333</c:v>
                </c:pt>
                <c:pt idx="9">
                  <c:v>115997.14376757</c:v>
                </c:pt>
                <c:pt idx="10">
                  <c:v>157579.12091771</c:v>
                </c:pt>
                <c:pt idx="11">
                  <c:v>205915.253885052</c:v>
                </c:pt>
                <c:pt idx="12">
                  <c:v>265500.729762286</c:v>
                </c:pt>
                <c:pt idx="13">
                  <c:v>336410.735600384</c:v>
                </c:pt>
                <c:pt idx="14">
                  <c:v>418730.192216895</c:v>
                </c:pt>
                <c:pt idx="15">
                  <c:v>512324.03375463</c:v>
                </c:pt>
                <c:pt idx="16">
                  <c:v>617100.626024667</c:v>
                </c:pt>
                <c:pt idx="17">
                  <c:v>733189.571877935</c:v>
                </c:pt>
                <c:pt idx="18">
                  <c:v>860763.695814921</c:v>
                </c:pt>
                <c:pt idx="19">
                  <c:v>997551.979294484</c:v>
                </c:pt>
                <c:pt idx="20">
                  <c:v>1143441.68639098</c:v>
                </c:pt>
                <c:pt idx="21">
                  <c:v>1301116.73953276</c:v>
                </c:pt>
                <c:pt idx="22">
                  <c:v>1470386.24487759</c:v>
                </c:pt>
                <c:pt idx="23">
                  <c:v>1651075.33483661</c:v>
                </c:pt>
                <c:pt idx="24">
                  <c:v>1843319.93751531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0449961"/>
        <c:axId val="273226"/>
      </c:lineChart>
      <c:catAx>
        <c:axId val="9044996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3226"/>
        <c:crosses val="autoZero"/>
        <c:auto val="1"/>
        <c:lblAlgn val="ctr"/>
        <c:lblOffset val="100"/>
        <c:noMultiLvlLbl val="0"/>
      </c:catAx>
      <c:valAx>
        <c:axId val="27322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R$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R$ &quot;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44996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Ponto de equilíbrio (mês típico do Ano 2)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"Receita"</c:f>
              <c:strCache>
                <c:ptCount val="1"/>
                <c:pt idx="0">
                  <c:v>Receita</c:v>
                </c:pt>
              </c:strCache>
            </c:strRef>
          </c:tx>
          <c:spPr>
            <a:solidFill>
              <a:srgbClr val="1fb6e0"/>
            </a:solidFill>
            <a:ln w="24840">
              <a:solidFill>
                <a:srgbClr val="1fb6e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Indicadores!$B$34:$B$44</c:f>
              <c:strCache>
                <c:ptCount val="11"/>
                <c:pt idx="0">
                  <c:v>-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</c:strCache>
            </c:strRef>
          </c:cat>
          <c:val>
            <c:numRef>
              <c:f>Indicadores!$C$34:$C$44</c:f>
              <c:numCache>
                <c:formatCode>"R$ "#,##0;"(R$ "#,##0\);\-</c:formatCode>
                <c:ptCount val="11"/>
                <c:pt idx="0">
                  <c:v>0</c:v>
                </c:pt>
                <c:pt idx="1">
                  <c:v>30000</c:v>
                </c:pt>
                <c:pt idx="2">
                  <c:v>60000</c:v>
                </c:pt>
                <c:pt idx="3">
                  <c:v>90000</c:v>
                </c:pt>
                <c:pt idx="4">
                  <c:v>120000</c:v>
                </c:pt>
                <c:pt idx="5">
                  <c:v>150000</c:v>
                </c:pt>
                <c:pt idx="6">
                  <c:v>180000</c:v>
                </c:pt>
                <c:pt idx="7">
                  <c:v>210000</c:v>
                </c:pt>
                <c:pt idx="8">
                  <c:v>240000</c:v>
                </c:pt>
                <c:pt idx="9">
                  <c:v>270000</c:v>
                </c:pt>
                <c:pt idx="10">
                  <c:v>300000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"Custo total"</c:f>
              <c:strCache>
                <c:ptCount val="1"/>
                <c:pt idx="0">
                  <c:v>Custo total</c:v>
                </c:pt>
              </c:strCache>
            </c:strRef>
          </c:tx>
          <c:spPr>
            <a:solidFill>
              <a:srgbClr val="e4572e"/>
            </a:solidFill>
            <a:ln w="24840">
              <a:solidFill>
                <a:srgbClr val="e4572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Indicadores!$B$34:$B$44</c:f>
              <c:strCache>
                <c:ptCount val="11"/>
                <c:pt idx="0">
                  <c:v>-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</c:strCache>
            </c:strRef>
          </c:cat>
          <c:val>
            <c:numRef>
              <c:f>Indicadores!$D$34:$D$44</c:f>
              <c:numCache>
                <c:formatCode>"R$ "#,##0;"(R$ "#,##0\);\-</c:formatCode>
                <c:ptCount val="11"/>
                <c:pt idx="0">
                  <c:v>22601.6666666667</c:v>
                </c:pt>
                <c:pt idx="1">
                  <c:v>30848.2742314964</c:v>
                </c:pt>
                <c:pt idx="2">
                  <c:v>39094.8817963261</c:v>
                </c:pt>
                <c:pt idx="3">
                  <c:v>47341.4893611559</c:v>
                </c:pt>
                <c:pt idx="4">
                  <c:v>55588.0969259856</c:v>
                </c:pt>
                <c:pt idx="5">
                  <c:v>63834.7044908153</c:v>
                </c:pt>
                <c:pt idx="6">
                  <c:v>72081.312055645</c:v>
                </c:pt>
                <c:pt idx="7">
                  <c:v>80327.9196204748</c:v>
                </c:pt>
                <c:pt idx="8">
                  <c:v>88574.5271853045</c:v>
                </c:pt>
                <c:pt idx="9">
                  <c:v>96821.1347501342</c:v>
                </c:pt>
                <c:pt idx="10">
                  <c:v>105067.742314964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"Custo fixo"</c:f>
              <c:strCache>
                <c:ptCount val="1"/>
                <c:pt idx="0">
                  <c:v>Custo fixo</c:v>
                </c:pt>
              </c:strCache>
            </c:strRef>
          </c:tx>
          <c:spPr>
            <a:solidFill>
              <a:srgbClr val="7f7f7f"/>
            </a:solidFill>
            <a:ln w="24840">
              <a:solidFill>
                <a:srgbClr val="7f7f7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Indicadores!$B$34:$B$44</c:f>
              <c:strCache>
                <c:ptCount val="11"/>
                <c:pt idx="0">
                  <c:v>-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</c:strCache>
            </c:strRef>
          </c:cat>
          <c:val>
            <c:numRef>
              <c:f>Indicadores!$E$34:$E$44</c:f>
              <c:numCache>
                <c:formatCode>"R$ "#,##0;"(R$ "#,##0\);\-</c:formatCode>
                <c:ptCount val="11"/>
                <c:pt idx="0">
                  <c:v>22601.6666666667</c:v>
                </c:pt>
                <c:pt idx="1">
                  <c:v>22601.6666666667</c:v>
                </c:pt>
                <c:pt idx="2">
                  <c:v>22601.6666666667</c:v>
                </c:pt>
                <c:pt idx="3">
                  <c:v>22601.6666666667</c:v>
                </c:pt>
                <c:pt idx="4">
                  <c:v>22601.6666666667</c:v>
                </c:pt>
                <c:pt idx="5">
                  <c:v>22601.6666666667</c:v>
                </c:pt>
                <c:pt idx="6">
                  <c:v>22601.6666666667</c:v>
                </c:pt>
                <c:pt idx="7">
                  <c:v>22601.6666666667</c:v>
                </c:pt>
                <c:pt idx="8">
                  <c:v>22601.6666666667</c:v>
                </c:pt>
                <c:pt idx="9">
                  <c:v>22601.6666666667</c:v>
                </c:pt>
                <c:pt idx="10">
                  <c:v>22601.6666666667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6457943"/>
        <c:axId val="72814695"/>
      </c:lineChart>
      <c:catAx>
        <c:axId val="6645794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Clientes pagantes no mês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814695"/>
        <c:crosses val="autoZero"/>
        <c:auto val="1"/>
        <c:lblAlgn val="ctr"/>
        <c:lblOffset val="100"/>
        <c:noMultiLvlLbl val="0"/>
      </c:catAx>
      <c:valAx>
        <c:axId val="7281469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R$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R$ &quot;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45794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DRE: Ano 1 × Ano 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"Ano 1"</c:f>
              <c:strCache>
                <c:ptCount val="1"/>
                <c:pt idx="0">
                  <c:v>Ano 1</c:v>
                </c:pt>
              </c:strCache>
            </c:strRef>
          </c:tx>
          <c:spPr>
            <a:solidFill>
              <a:srgbClr val="1fb6e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'DRE Anual'!$B$26:$B$30</c:f>
              <c:strCache>
                <c:ptCount val="5"/>
                <c:pt idx="0">
                  <c:v>Receita</c:v>
                </c:pt>
                <c:pt idx="1">
                  <c:v>Custos variáveis</c:v>
                </c:pt>
                <c:pt idx="2">
                  <c:v>Margem de contribuição</c:v>
                </c:pt>
                <c:pt idx="3">
                  <c:v>Custos fixos</c:v>
                </c:pt>
                <c:pt idx="4">
                  <c:v>Resultado líquido</c:v>
                </c:pt>
              </c:strCache>
            </c:strRef>
          </c:cat>
          <c:val>
            <c:numRef>
              <c:f>'DRE Anual'!$C$26:$C$30</c:f>
              <c:numCache>
                <c:formatCode>"R$ "#,##0;"(R$ "#,##0\);\-</c:formatCode>
                <c:ptCount val="5"/>
                <c:pt idx="0">
                  <c:v>615000</c:v>
                </c:pt>
                <c:pt idx="1">
                  <c:v>153697.346153846</c:v>
                </c:pt>
                <c:pt idx="2">
                  <c:v>461302.653846154</c:v>
                </c:pt>
                <c:pt idx="3">
                  <c:v>131720</c:v>
                </c:pt>
                <c:pt idx="4">
                  <c:v>328990.729762286</c:v>
                </c:pt>
              </c:numCache>
            </c:numRef>
          </c:val>
        </c:ser>
        <c:ser>
          <c:idx val="1"/>
          <c:order val="1"/>
          <c:tx>
            <c:strRef>
              <c:f>"Ano 2"</c:f>
              <c:strCache>
                <c:ptCount val="1"/>
                <c:pt idx="0">
                  <c:v>Ano 2</c:v>
                </c:pt>
              </c:strCache>
            </c:strRef>
          </c:tx>
          <c:spPr>
            <a:solidFill>
              <a:srgbClr val="14213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'DRE Anual'!$B$26:$B$30</c:f>
              <c:strCache>
                <c:ptCount val="5"/>
                <c:pt idx="0">
                  <c:v>Receita</c:v>
                </c:pt>
                <c:pt idx="1">
                  <c:v>Custos variáveis</c:v>
                </c:pt>
                <c:pt idx="2">
                  <c:v>Margem de contribuição</c:v>
                </c:pt>
                <c:pt idx="3">
                  <c:v>Custos fixos</c:v>
                </c:pt>
                <c:pt idx="4">
                  <c:v>Resultado líquido</c:v>
                </c:pt>
              </c:strCache>
            </c:strRef>
          </c:cat>
          <c:val>
            <c:numRef>
              <c:f>'DRE Anual'!$E$26:$E$30</c:f>
              <c:numCache>
                <c:formatCode>"R$ "#,##0;"(R$ "#,##0\);\-</c:formatCode>
                <c:ptCount val="5"/>
                <c:pt idx="0">
                  <c:v>2610000</c:v>
                </c:pt>
                <c:pt idx="1">
                  <c:v>717454.858140187</c:v>
                </c:pt>
                <c:pt idx="2">
                  <c:v>1892545.14185981</c:v>
                </c:pt>
                <c:pt idx="3">
                  <c:v>271220</c:v>
                </c:pt>
                <c:pt idx="4">
                  <c:v>1703065.87441969</c:v>
                </c:pt>
              </c:numCache>
            </c:numRef>
          </c:val>
        </c:ser>
        <c:gapWidth val="150"/>
        <c:overlap val="0"/>
        <c:axId val="12196208"/>
        <c:axId val="75622360"/>
      </c:barChart>
      <c:catAx>
        <c:axId val="12196208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622360"/>
        <c:crosses val="autoZero"/>
        <c:auto val="1"/>
        <c:lblAlgn val="ctr"/>
        <c:lblOffset val="100"/>
        <c:noMultiLvlLbl val="0"/>
      </c:catAx>
      <c:valAx>
        <c:axId val="7562236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R$ &quot;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19620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Para onde vai o dinheiro (Ano 2)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672a8"/>
              </a:solidFill>
              <a:ln w="0">
                <a:noFill/>
              </a:ln>
            </c:spPr>
          </c:dPt>
          <c:dPt>
            <c:idx val="1"/>
            <c:spPr>
              <a:solidFill>
                <a:srgbClr val="ab4744"/>
              </a:solidFill>
              <a:ln w="0">
                <a:noFill/>
              </a:ln>
            </c:spPr>
          </c:dPt>
          <c:dPt>
            <c:idx val="2"/>
            <c:spPr>
              <a:solidFill>
                <a:srgbClr val="8aa64f"/>
              </a:solidFill>
              <a:ln w="0">
                <a:noFill/>
              </a:ln>
            </c:spPr>
          </c:dPt>
          <c:dPt>
            <c:idx val="3"/>
            <c:spPr>
              <a:solidFill>
                <a:srgbClr val="72599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299b0"/>
              </a:solidFill>
              <a:ln w="0">
                <a:noFill/>
              </a:ln>
            </c:spPr>
          </c:dPt>
          <c:dPt>
            <c:idx val="5"/>
            <c:spPr>
              <a:solidFill>
                <a:srgbClr val="dc853e"/>
              </a:solidFill>
              <a:ln w="0">
                <a:noFill/>
              </a:ln>
            </c:spPr>
          </c:dPt>
          <c:dPt>
            <c:idx val="6"/>
            <c:spPr>
              <a:solidFill>
                <a:srgbClr val="93a9ce"/>
              </a:solidFill>
              <a:ln w="0">
                <a:noFill/>
              </a:ln>
            </c:spPr>
          </c:dPt>
          <c:dPt>
            <c:idx val="7"/>
            <c:spPr>
              <a:solidFill>
                <a:srgbClr val="d09493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dLbl>
              <c:idx val="7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0"/>
            <c:showCatName val="0"/>
            <c:showSerName val="0"/>
            <c:showPercent val="1"/>
            <c:separator>
</c:separator>
            <c:showLeaderLines val="0"/>
          </c:dLbls>
          <c:cat>
            <c:strRef>
              <c:f>Painel!$P$72:$P$79</c:f>
              <c:strCache>
                <c:ptCount val="8"/>
                <c:pt idx="0">
                  <c:v>Processamento de IA</c:v>
                </c:pt>
                <c:pt idx="1">
                  <c:v>DAS (impostos)</c:v>
                </c:pt>
                <c:pt idx="2">
                  <c:v>Comissões e tarifas</c:v>
                </c:pt>
                <c:pt idx="3">
                  <c:v>Inadimplência</c:v>
                </c:pt>
                <c:pt idx="4">
                  <c:v>Mão de obra</c:v>
                </c:pt>
                <c:pt idx="5">
                  <c:v>Demais custos fixos</c:v>
                </c:pt>
                <c:pt idx="6">
                  <c:v>Aquisição de clientes</c:v>
                </c:pt>
                <c:pt idx="7">
                  <c:v>Depreciação</c:v>
                </c:pt>
              </c:strCache>
            </c:strRef>
          </c:cat>
          <c:val>
            <c:numRef>
              <c:f>Painel!$Q$72:$Q$79</c:f>
              <c:numCache>
                <c:formatCode>"R$ "#,##0;"(R$ "#,##0\);\-</c:formatCode>
                <c:ptCount val="8"/>
                <c:pt idx="0">
                  <c:v>52200</c:v>
                </c:pt>
                <c:pt idx="1">
                  <c:v>507610.858140187</c:v>
                </c:pt>
                <c:pt idx="2">
                  <c:v>131544</c:v>
                </c:pt>
                <c:pt idx="3">
                  <c:v>26100</c:v>
                </c:pt>
                <c:pt idx="4">
                  <c:v>101400</c:v>
                </c:pt>
                <c:pt idx="5">
                  <c:v>96600</c:v>
                </c:pt>
                <c:pt idx="6">
                  <c:v>72000</c:v>
                </c:pt>
                <c:pt idx="7">
                  <c:v>1220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DRE × fluxo de caixa (acumulados)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"Lucro acumulado (DRE)"</c:f>
              <c:strCache>
                <c:ptCount val="1"/>
                <c:pt idx="0">
                  <c:v>Lucro acumulado (DRE)</c:v>
                </c:pt>
              </c:strCache>
            </c:strRef>
          </c:tx>
          <c:spPr>
            <a:solidFill>
              <a:srgbClr val="14213d"/>
            </a:solidFill>
            <a:ln w="24840">
              <a:solidFill>
                <a:srgbClr val="14213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'DRE x Caixa'!$C$5:$AA$5</c:f>
              <c:multiLvlStrCache>
                <c:ptCount val="1"/>
                <c:lvl>
                  <c:pt idx="0">
                    <c:v>M24</c:v>
                  </c:pt>
                </c:lvl>
                <c:lvl>
                  <c:pt idx="0">
                    <c:v>M23</c:v>
                  </c:pt>
                </c:lvl>
                <c:lvl>
                  <c:pt idx="0">
                    <c:v>M22</c:v>
                  </c:pt>
                </c:lvl>
                <c:lvl>
                  <c:pt idx="0">
                    <c:v>M21</c:v>
                  </c:pt>
                </c:lvl>
                <c:lvl>
                  <c:pt idx="0">
                    <c:v>M20</c:v>
                  </c:pt>
                </c:lvl>
                <c:lvl>
                  <c:pt idx="0">
                    <c:v>M19</c:v>
                  </c:pt>
                </c:lvl>
                <c:lvl>
                  <c:pt idx="0">
                    <c:v>M18</c:v>
                  </c:pt>
                </c:lvl>
                <c:lvl>
                  <c:pt idx="0">
                    <c:v>M17</c:v>
                  </c:pt>
                </c:lvl>
                <c:lvl>
                  <c:pt idx="0">
                    <c:v>M16</c:v>
                  </c:pt>
                </c:lvl>
                <c:lvl>
                  <c:pt idx="0">
                    <c:v>M15</c:v>
                  </c:pt>
                </c:lvl>
                <c:lvl>
                  <c:pt idx="0">
                    <c:v>M14</c:v>
                  </c:pt>
                </c:lvl>
                <c:lvl>
                  <c:pt idx="0">
                    <c:v>M13</c:v>
                  </c:pt>
                </c:lvl>
                <c:lvl>
                  <c:pt idx="0">
                    <c:v>M12</c:v>
                  </c:pt>
                </c:lvl>
                <c:lvl>
                  <c:pt idx="0">
                    <c:v>M11</c:v>
                  </c:pt>
                </c:lvl>
                <c:lvl>
                  <c:pt idx="0">
                    <c:v>M10</c:v>
                  </c:pt>
                </c:lvl>
                <c:lvl>
                  <c:pt idx="0">
                    <c:v>M9</c:v>
                  </c:pt>
                </c:lvl>
                <c:lvl>
                  <c:pt idx="0">
                    <c:v>M8</c:v>
                  </c:pt>
                </c:lvl>
                <c:lvl>
                  <c:pt idx="0">
                    <c:v>M7</c:v>
                  </c:pt>
                </c:lvl>
                <c:lvl>
                  <c:pt idx="0">
                    <c:v>M6</c:v>
                  </c:pt>
                </c:lvl>
                <c:lvl>
                  <c:pt idx="0">
                    <c:v>M5</c:v>
                  </c:pt>
                </c:lvl>
                <c:lvl>
                  <c:pt idx="0">
                    <c:v>M4</c:v>
                  </c:pt>
                </c:lvl>
                <c:lvl>
                  <c:pt idx="0">
                    <c:v>M3</c:v>
                  </c:pt>
                </c:lvl>
                <c:lvl>
                  <c:pt idx="0">
                    <c:v>M2</c:v>
                  </c:pt>
                </c:lvl>
                <c:lvl>
                  <c:pt idx="0">
                    <c:v>M1</c:v>
                  </c:pt>
                </c:lvl>
                <c:lvl>
                  <c:pt idx="0">
                    <c:v>M0 (pré)</c:v>
                  </c:pt>
                </c:lvl>
              </c:multiLvlStrCache>
            </c:multiLvlStrRef>
          </c:cat>
          <c:val>
            <c:numRef>
              <c:f>'DRE x Caixa'!$C$11:$AA$11</c:f>
              <c:numCache>
                <c:formatCode>"R$ "#,##0;"(R$ "#,##0\);\-</c:formatCode>
                <c:ptCount val="25"/>
                <c:pt idx="0">
                  <c:v>0</c:v>
                </c:pt>
                <c:pt idx="1">
                  <c:v>-8235.66666666667</c:v>
                </c:pt>
                <c:pt idx="2">
                  <c:v>-11254.4853333333</c:v>
                </c:pt>
                <c:pt idx="3">
                  <c:v>-14296.641216</c:v>
                </c:pt>
                <c:pt idx="4">
                  <c:v>-4208.82101239467</c:v>
                </c:pt>
                <c:pt idx="5">
                  <c:v>11309.0150861728</c:v>
                </c:pt>
                <c:pt idx="6">
                  <c:v>35592.1072068622</c:v>
                </c:pt>
                <c:pt idx="7">
                  <c:v>65570.1773978505</c:v>
                </c:pt>
                <c:pt idx="8">
                  <c:v>103837.2854837</c:v>
                </c:pt>
                <c:pt idx="9">
                  <c:v>150742.14376757</c:v>
                </c:pt>
                <c:pt idx="10">
                  <c:v>198949.954251043</c:v>
                </c:pt>
                <c:pt idx="11">
                  <c:v>258353.074397872</c:v>
                </c:pt>
                <c:pt idx="12">
                  <c:v>328990.729762286</c:v>
                </c:pt>
                <c:pt idx="13">
                  <c:v>410947.239665425</c:v>
                </c:pt>
                <c:pt idx="14">
                  <c:v>504086.858883561</c:v>
                </c:pt>
                <c:pt idx="15">
                  <c:v>608319.03375463</c:v>
                </c:pt>
                <c:pt idx="16">
                  <c:v>723774.100203071</c:v>
                </c:pt>
                <c:pt idx="17">
                  <c:v>850623.845906564</c:v>
                </c:pt>
                <c:pt idx="18">
                  <c:v>988995.869727965</c:v>
                </c:pt>
                <c:pt idx="19">
                  <c:v>1133995.60388995</c:v>
                </c:pt>
                <c:pt idx="20">
                  <c:v>1290707.8727083</c:v>
                </c:pt>
                <c:pt idx="21">
                  <c:v>1458920.31096133</c:v>
                </c:pt>
                <c:pt idx="22">
                  <c:v>1638459.57821093</c:v>
                </c:pt>
                <c:pt idx="23">
                  <c:v>1829463.00150328</c:v>
                </c:pt>
                <c:pt idx="24">
                  <c:v>2032056.60418197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"Caixa gerado acumulado"</c:f>
              <c:strCache>
                <c:ptCount val="1"/>
                <c:pt idx="0">
                  <c:v>Caixa gerado acumulado</c:v>
                </c:pt>
              </c:strCache>
            </c:strRef>
          </c:tx>
          <c:spPr>
            <a:solidFill>
              <a:srgbClr val="2f9e6b"/>
            </a:solidFill>
            <a:ln w="24840">
              <a:solidFill>
                <a:srgbClr val="2f9e6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'DRE x Caixa'!$C$5:$AA$5</c:f>
              <c:multiLvlStrCache>
                <c:ptCount val="1"/>
                <c:lvl>
                  <c:pt idx="0">
                    <c:v>M24</c:v>
                  </c:pt>
                </c:lvl>
                <c:lvl>
                  <c:pt idx="0">
                    <c:v>M23</c:v>
                  </c:pt>
                </c:lvl>
                <c:lvl>
                  <c:pt idx="0">
                    <c:v>M22</c:v>
                  </c:pt>
                </c:lvl>
                <c:lvl>
                  <c:pt idx="0">
                    <c:v>M21</c:v>
                  </c:pt>
                </c:lvl>
                <c:lvl>
                  <c:pt idx="0">
                    <c:v>M20</c:v>
                  </c:pt>
                </c:lvl>
                <c:lvl>
                  <c:pt idx="0">
                    <c:v>M19</c:v>
                  </c:pt>
                </c:lvl>
                <c:lvl>
                  <c:pt idx="0">
                    <c:v>M18</c:v>
                  </c:pt>
                </c:lvl>
                <c:lvl>
                  <c:pt idx="0">
                    <c:v>M17</c:v>
                  </c:pt>
                </c:lvl>
                <c:lvl>
                  <c:pt idx="0">
                    <c:v>M16</c:v>
                  </c:pt>
                </c:lvl>
                <c:lvl>
                  <c:pt idx="0">
                    <c:v>M15</c:v>
                  </c:pt>
                </c:lvl>
                <c:lvl>
                  <c:pt idx="0">
                    <c:v>M14</c:v>
                  </c:pt>
                </c:lvl>
                <c:lvl>
                  <c:pt idx="0">
                    <c:v>M13</c:v>
                  </c:pt>
                </c:lvl>
                <c:lvl>
                  <c:pt idx="0">
                    <c:v>M12</c:v>
                  </c:pt>
                </c:lvl>
                <c:lvl>
                  <c:pt idx="0">
                    <c:v>M11</c:v>
                  </c:pt>
                </c:lvl>
                <c:lvl>
                  <c:pt idx="0">
                    <c:v>M10</c:v>
                  </c:pt>
                </c:lvl>
                <c:lvl>
                  <c:pt idx="0">
                    <c:v>M9</c:v>
                  </c:pt>
                </c:lvl>
                <c:lvl>
                  <c:pt idx="0">
                    <c:v>M8</c:v>
                  </c:pt>
                </c:lvl>
                <c:lvl>
                  <c:pt idx="0">
                    <c:v>M7</c:v>
                  </c:pt>
                </c:lvl>
                <c:lvl>
                  <c:pt idx="0">
                    <c:v>M6</c:v>
                  </c:pt>
                </c:lvl>
                <c:lvl>
                  <c:pt idx="0">
                    <c:v>M5</c:v>
                  </c:pt>
                </c:lvl>
                <c:lvl>
                  <c:pt idx="0">
                    <c:v>M4</c:v>
                  </c:pt>
                </c:lvl>
                <c:lvl>
                  <c:pt idx="0">
                    <c:v>M3</c:v>
                  </c:pt>
                </c:lvl>
                <c:lvl>
                  <c:pt idx="0">
                    <c:v>M2</c:v>
                  </c:pt>
                </c:lvl>
                <c:lvl>
                  <c:pt idx="0">
                    <c:v>M1</c:v>
                  </c:pt>
                </c:lvl>
                <c:lvl>
                  <c:pt idx="0">
                    <c:v>M0 (pré)</c:v>
                  </c:pt>
                </c:lvl>
              </c:multiLvlStrCache>
            </c:multiLvlStrRef>
          </c:cat>
          <c:val>
            <c:numRef>
              <c:f>'DRE x Caixa'!$C$12:$AA$12</c:f>
              <c:numCache>
                <c:formatCode>"R$ "#,##0;"(R$ "#,##0\);\-</c:formatCode>
                <c:ptCount val="25"/>
                <c:pt idx="0">
                  <c:v>-11340</c:v>
                </c:pt>
                <c:pt idx="1">
                  <c:v>-14234</c:v>
                </c:pt>
                <c:pt idx="2">
                  <c:v>-17151.152</c:v>
                </c:pt>
                <c:pt idx="3">
                  <c:v>-20091.641216</c:v>
                </c:pt>
                <c:pt idx="4">
                  <c:v>-24964.654345728</c:v>
                </c:pt>
                <c:pt idx="5">
                  <c:v>-21120.1515804938</c:v>
                </c:pt>
                <c:pt idx="6">
                  <c:v>-2622.89279313778</c:v>
                </c:pt>
                <c:pt idx="7">
                  <c:v>21756.8440645171</c:v>
                </c:pt>
                <c:pt idx="8">
                  <c:v>48725.6188170333</c:v>
                </c:pt>
                <c:pt idx="9">
                  <c:v>90157.1437675695</c:v>
                </c:pt>
                <c:pt idx="10">
                  <c:v>131739.12091771</c:v>
                </c:pt>
                <c:pt idx="11">
                  <c:v>180075.253885052</c:v>
                </c:pt>
                <c:pt idx="12">
                  <c:v>239660.729762286</c:v>
                </c:pt>
                <c:pt idx="13">
                  <c:v>310570.735600384</c:v>
                </c:pt>
                <c:pt idx="14">
                  <c:v>392890.192216895</c:v>
                </c:pt>
                <c:pt idx="15">
                  <c:v>486484.03375463</c:v>
                </c:pt>
                <c:pt idx="16">
                  <c:v>591260.626024667</c:v>
                </c:pt>
                <c:pt idx="17">
                  <c:v>707349.571877935</c:v>
                </c:pt>
                <c:pt idx="18">
                  <c:v>834923.695814921</c:v>
                </c:pt>
                <c:pt idx="19">
                  <c:v>971711.979294484</c:v>
                </c:pt>
                <c:pt idx="20">
                  <c:v>1117601.68639098</c:v>
                </c:pt>
                <c:pt idx="21">
                  <c:v>1275276.73953276</c:v>
                </c:pt>
                <c:pt idx="22">
                  <c:v>1444546.24487759</c:v>
                </c:pt>
                <c:pt idx="23">
                  <c:v>1625235.33483661</c:v>
                </c:pt>
                <c:pt idx="24">
                  <c:v>1817479.93751531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1880304"/>
        <c:axId val="1250542"/>
      </c:lineChart>
      <c:catAx>
        <c:axId val="71880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50542"/>
        <c:crosses val="autoZero"/>
        <c:auto val="1"/>
        <c:lblAlgn val="ctr"/>
        <c:lblOffset val="100"/>
        <c:noMultiLvlLbl val="0"/>
      </c:catAx>
      <c:valAx>
        <c:axId val="125054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R$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R$ &quot;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88030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14</xdr:row>
      <xdr:rowOff>0</xdr:rowOff>
    </xdr:from>
    <xdr:to>
      <xdr:col>5</xdr:col>
      <xdr:colOff>480960</xdr:colOff>
      <xdr:row>30</xdr:row>
      <xdr:rowOff>11520</xdr:rowOff>
    </xdr:to>
    <xdr:graphicFrame>
      <xdr:nvGraphicFramePr>
        <xdr:cNvPr id="0" name="Chart 1"/>
        <xdr:cNvGraphicFramePr/>
      </xdr:nvGraphicFramePr>
      <xdr:xfrm>
        <a:off x="141120" y="300996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14</xdr:row>
      <xdr:rowOff>0</xdr:rowOff>
    </xdr:from>
    <xdr:to>
      <xdr:col>11</xdr:col>
      <xdr:colOff>103680</xdr:colOff>
      <xdr:row>30</xdr:row>
      <xdr:rowOff>11520</xdr:rowOff>
    </xdr:to>
    <xdr:graphicFrame>
      <xdr:nvGraphicFramePr>
        <xdr:cNvPr id="1" name="Chart 2"/>
        <xdr:cNvGraphicFramePr/>
      </xdr:nvGraphicFramePr>
      <xdr:xfrm>
        <a:off x="5779800" y="300996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32</xdr:row>
      <xdr:rowOff>0</xdr:rowOff>
    </xdr:from>
    <xdr:to>
      <xdr:col>5</xdr:col>
      <xdr:colOff>480960</xdr:colOff>
      <xdr:row>48</xdr:row>
      <xdr:rowOff>11520</xdr:rowOff>
    </xdr:to>
    <xdr:graphicFrame>
      <xdr:nvGraphicFramePr>
        <xdr:cNvPr id="2" name="Chart 3"/>
        <xdr:cNvGraphicFramePr/>
      </xdr:nvGraphicFramePr>
      <xdr:xfrm>
        <a:off x="141120" y="643896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</xdr:col>
      <xdr:colOff>0</xdr:colOff>
      <xdr:row>32</xdr:row>
      <xdr:rowOff>0</xdr:rowOff>
    </xdr:from>
    <xdr:to>
      <xdr:col>11</xdr:col>
      <xdr:colOff>103680</xdr:colOff>
      <xdr:row>48</xdr:row>
      <xdr:rowOff>11520</xdr:rowOff>
    </xdr:to>
    <xdr:graphicFrame>
      <xdr:nvGraphicFramePr>
        <xdr:cNvPr id="3" name="Chart 4"/>
        <xdr:cNvGraphicFramePr/>
      </xdr:nvGraphicFramePr>
      <xdr:xfrm>
        <a:off x="5779800" y="643896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50</xdr:row>
      <xdr:rowOff>0</xdr:rowOff>
    </xdr:from>
    <xdr:to>
      <xdr:col>5</xdr:col>
      <xdr:colOff>480960</xdr:colOff>
      <xdr:row>66</xdr:row>
      <xdr:rowOff>11520</xdr:rowOff>
    </xdr:to>
    <xdr:graphicFrame>
      <xdr:nvGraphicFramePr>
        <xdr:cNvPr id="4" name="Chart 5"/>
        <xdr:cNvGraphicFramePr/>
      </xdr:nvGraphicFramePr>
      <xdr:xfrm>
        <a:off x="141120" y="986796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5</xdr:col>
      <xdr:colOff>0</xdr:colOff>
      <xdr:row>50</xdr:row>
      <xdr:rowOff>0</xdr:rowOff>
    </xdr:from>
    <xdr:to>
      <xdr:col>11</xdr:col>
      <xdr:colOff>103680</xdr:colOff>
      <xdr:row>66</xdr:row>
      <xdr:rowOff>11520</xdr:rowOff>
    </xdr:to>
    <xdr:graphicFrame>
      <xdr:nvGraphicFramePr>
        <xdr:cNvPr id="5" name="Chart 6"/>
        <xdr:cNvGraphicFramePr/>
      </xdr:nvGraphicFramePr>
      <xdr:xfrm>
        <a:off x="5779800" y="986796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</xdr:col>
      <xdr:colOff>0</xdr:colOff>
      <xdr:row>68</xdr:row>
      <xdr:rowOff>0</xdr:rowOff>
    </xdr:from>
    <xdr:to>
      <xdr:col>5</xdr:col>
      <xdr:colOff>480960</xdr:colOff>
      <xdr:row>84</xdr:row>
      <xdr:rowOff>11520</xdr:rowOff>
    </xdr:to>
    <xdr:graphicFrame>
      <xdr:nvGraphicFramePr>
        <xdr:cNvPr id="6" name="Chart 7"/>
        <xdr:cNvGraphicFramePr/>
      </xdr:nvGraphicFramePr>
      <xdr:xfrm>
        <a:off x="141120" y="1329696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5</xdr:col>
      <xdr:colOff>0</xdr:colOff>
      <xdr:row>68</xdr:row>
      <xdr:rowOff>0</xdr:rowOff>
    </xdr:from>
    <xdr:to>
      <xdr:col>11</xdr:col>
      <xdr:colOff>103680</xdr:colOff>
      <xdr:row>84</xdr:row>
      <xdr:rowOff>11520</xdr:rowOff>
    </xdr:to>
    <xdr:graphicFrame>
      <xdr:nvGraphicFramePr>
        <xdr:cNvPr id="7" name="Chart 8"/>
        <xdr:cNvGraphicFramePr/>
      </xdr:nvGraphicFramePr>
      <xdr:xfrm>
        <a:off x="5779800" y="1329696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1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2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3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4.v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5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4213D"/>
    <pageSetUpPr fitToPage="true"/>
  </sheetPr>
  <dimension ref="B2:E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3" min="3" style="0" width="30"/>
    <col collapsed="false" customWidth="true" hidden="false" outlineLevel="0" max="4" min="4" style="0" width="80"/>
    <col collapsed="false" customWidth="true" hidden="false" outlineLevel="0" max="5" min="5" style="0" width="70"/>
  </cols>
  <sheetData>
    <row r="2" customFormat="false" ht="21.75" hidden="false" customHeight="tru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43.5" hidden="false" customHeight="true" outlineLevel="0" collapsed="false">
      <c r="B5" s="3" t="s">
        <v>2</v>
      </c>
      <c r="C5" s="3"/>
      <c r="D5" s="3"/>
    </row>
    <row r="7" customFormat="false" ht="15" hidden="false" customHeight="false" outlineLevel="0" collapsed="false">
      <c r="B7" s="4" t="s">
        <v>3</v>
      </c>
      <c r="C7" s="4" t="s">
        <v>4</v>
      </c>
      <c r="D7" s="4" t="s">
        <v>5</v>
      </c>
    </row>
    <row r="8" customFormat="false" ht="15" hidden="false" customHeight="false" outlineLevel="0" collapsed="false">
      <c r="B8" s="5" t="s">
        <v>6</v>
      </c>
      <c r="C8" s="6" t="s">
        <v>7</v>
      </c>
      <c r="D8" s="7" t="s">
        <v>8</v>
      </c>
    </row>
    <row r="9" customFormat="false" ht="15" hidden="false" customHeight="false" outlineLevel="0" collapsed="false">
      <c r="B9" s="5" t="s">
        <v>9</v>
      </c>
      <c r="C9" s="6" t="s">
        <v>10</v>
      </c>
      <c r="D9" s="7" t="s">
        <v>11</v>
      </c>
    </row>
    <row r="10" customFormat="false" ht="15" hidden="false" customHeight="false" outlineLevel="0" collapsed="false">
      <c r="B10" s="5" t="s">
        <v>12</v>
      </c>
      <c r="C10" s="6" t="s">
        <v>13</v>
      </c>
      <c r="D10" s="7" t="s">
        <v>14</v>
      </c>
    </row>
    <row r="11" customFormat="false" ht="15" hidden="false" customHeight="false" outlineLevel="0" collapsed="false">
      <c r="B11" s="5" t="s">
        <v>15</v>
      </c>
      <c r="C11" s="6" t="s">
        <v>16</v>
      </c>
      <c r="D11" s="7" t="s">
        <v>17</v>
      </c>
    </row>
    <row r="12" customFormat="false" ht="15" hidden="false" customHeight="false" outlineLevel="0" collapsed="false">
      <c r="B12" s="5" t="s">
        <v>18</v>
      </c>
      <c r="C12" s="6" t="s">
        <v>16</v>
      </c>
      <c r="D12" s="7" t="s">
        <v>19</v>
      </c>
    </row>
    <row r="13" customFormat="false" ht="15" hidden="false" customHeight="false" outlineLevel="0" collapsed="false">
      <c r="B13" s="5" t="s">
        <v>20</v>
      </c>
      <c r="C13" s="6" t="s">
        <v>21</v>
      </c>
      <c r="D13" s="7" t="s">
        <v>22</v>
      </c>
    </row>
    <row r="14" customFormat="false" ht="15" hidden="false" customHeight="false" outlineLevel="0" collapsed="false">
      <c r="B14" s="5" t="s">
        <v>23</v>
      </c>
      <c r="C14" s="6" t="s">
        <v>24</v>
      </c>
      <c r="D14" s="7" t="s">
        <v>25</v>
      </c>
    </row>
    <row r="15" customFormat="false" ht="15" hidden="false" customHeight="false" outlineLevel="0" collapsed="false">
      <c r="B15" s="5" t="s">
        <v>26</v>
      </c>
      <c r="C15" s="6" t="s">
        <v>27</v>
      </c>
      <c r="D15" s="7" t="s">
        <v>28</v>
      </c>
    </row>
    <row r="16" customFormat="false" ht="15" hidden="false" customHeight="false" outlineLevel="0" collapsed="false">
      <c r="B16" s="5" t="s">
        <v>29</v>
      </c>
      <c r="C16" s="6" t="s">
        <v>30</v>
      </c>
      <c r="D16" s="7" t="s">
        <v>31</v>
      </c>
    </row>
    <row r="17" customFormat="false" ht="15" hidden="false" customHeight="false" outlineLevel="0" collapsed="false">
      <c r="B17" s="5" t="s">
        <v>32</v>
      </c>
      <c r="C17" s="6" t="s">
        <v>33</v>
      </c>
      <c r="D17" s="7" t="s">
        <v>34</v>
      </c>
    </row>
    <row r="18" customFormat="false" ht="15" hidden="false" customHeight="false" outlineLevel="0" collapsed="false">
      <c r="B18" s="5" t="s">
        <v>35</v>
      </c>
      <c r="C18" s="6" t="s">
        <v>36</v>
      </c>
      <c r="D18" s="7" t="s">
        <v>37</v>
      </c>
    </row>
    <row r="19" customFormat="false" ht="15" hidden="false" customHeight="false" outlineLevel="0" collapsed="false">
      <c r="B19" s="5" t="s">
        <v>38</v>
      </c>
      <c r="C19" s="6" t="s">
        <v>39</v>
      </c>
      <c r="D19" s="7" t="s">
        <v>40</v>
      </c>
    </row>
    <row r="20" customFormat="false" ht="15" hidden="false" customHeight="false" outlineLevel="0" collapsed="false">
      <c r="B20" s="5" t="s">
        <v>41</v>
      </c>
      <c r="C20" s="6" t="s">
        <v>42</v>
      </c>
      <c r="D20" s="7" t="s">
        <v>43</v>
      </c>
    </row>
    <row r="21" customFormat="false" ht="15" hidden="false" customHeight="false" outlineLevel="0" collapsed="false">
      <c r="B21" s="5" t="s">
        <v>44</v>
      </c>
      <c r="C21" s="6" t="s">
        <v>45</v>
      </c>
      <c r="D21" s="7" t="s">
        <v>46</v>
      </c>
    </row>
    <row r="22" customFormat="false" ht="15" hidden="false" customHeight="false" outlineLevel="0" collapsed="false">
      <c r="B22" s="5" t="s">
        <v>47</v>
      </c>
      <c r="C22" s="6" t="s">
        <v>7</v>
      </c>
      <c r="D22" s="7" t="s">
        <v>48</v>
      </c>
    </row>
    <row r="23" customFormat="false" ht="15" hidden="false" customHeight="false" outlineLevel="0" collapsed="false">
      <c r="B23" s="5" t="s">
        <v>49</v>
      </c>
      <c r="C23" s="6" t="s">
        <v>7</v>
      </c>
      <c r="D23" s="7" t="s">
        <v>50</v>
      </c>
    </row>
    <row r="25" customFormat="false" ht="15" hidden="false" customHeight="false" outlineLevel="0" collapsed="false">
      <c r="B25" s="8" t="s">
        <v>51</v>
      </c>
    </row>
    <row r="26" customFormat="false" ht="15" hidden="false" customHeight="false" outlineLevel="0" collapsed="false">
      <c r="B26" s="9" t="s">
        <v>52</v>
      </c>
    </row>
    <row r="27" customFormat="false" ht="15" hidden="false" customHeight="false" outlineLevel="0" collapsed="false">
      <c r="B27" s="6" t="s">
        <v>53</v>
      </c>
    </row>
    <row r="28" customFormat="false" ht="15" hidden="false" customHeight="false" outlineLevel="0" collapsed="false">
      <c r="B28" s="10" t="s">
        <v>54</v>
      </c>
    </row>
    <row r="29" customFormat="false" ht="15" hidden="false" customHeight="false" outlineLevel="0" collapsed="false">
      <c r="B29" s="11" t="s">
        <v>55</v>
      </c>
    </row>
    <row r="30" customFormat="false" ht="15" hidden="false" customHeight="false" outlineLevel="0" collapsed="false">
      <c r="B30" s="12" t="s">
        <v>56</v>
      </c>
    </row>
    <row r="32" customFormat="false" ht="15" hidden="false" customHeight="false" outlineLevel="0" collapsed="false">
      <c r="B32" s="8" t="s">
        <v>57</v>
      </c>
    </row>
    <row r="33" customFormat="false" ht="15" hidden="false" customHeight="false" outlineLevel="0" collapsed="false">
      <c r="B33" s="4" t="s">
        <v>58</v>
      </c>
      <c r="C33" s="4" t="s">
        <v>59</v>
      </c>
      <c r="D33" s="4" t="s">
        <v>60</v>
      </c>
      <c r="E33" s="4" t="s">
        <v>61</v>
      </c>
    </row>
    <row r="34" customFormat="false" ht="27.75" hidden="false" customHeight="true" outlineLevel="0" collapsed="false">
      <c r="B34" s="5" t="s">
        <v>62</v>
      </c>
      <c r="C34" s="6" t="s">
        <v>63</v>
      </c>
      <c r="D34" s="13" t="n">
        <f aca="false">Indicadores!E8</f>
        <v>3225000</v>
      </c>
      <c r="E34" s="14" t="s">
        <v>64</v>
      </c>
    </row>
    <row r="35" customFormat="false" ht="27.75" hidden="false" customHeight="true" outlineLevel="0" collapsed="false">
      <c r="B35" s="5" t="s">
        <v>65</v>
      </c>
      <c r="C35" s="15" t="n">
        <v>441450</v>
      </c>
      <c r="D35" s="13" t="n">
        <f aca="false">Indicadores!C9</f>
        <v>328990.729762286</v>
      </c>
      <c r="E35" s="14" t="s">
        <v>66</v>
      </c>
    </row>
    <row r="36" customFormat="false" ht="27.75" hidden="false" customHeight="true" outlineLevel="0" collapsed="false">
      <c r="B36" s="5" t="s">
        <v>67</v>
      </c>
      <c r="C36" s="15" t="n">
        <v>7500</v>
      </c>
      <c r="D36" s="13" t="n">
        <f aca="false">Indicadores!C7</f>
        <v>25840</v>
      </c>
      <c r="E36" s="14" t="s">
        <v>68</v>
      </c>
    </row>
    <row r="37" customFormat="false" ht="27.75" hidden="false" customHeight="true" outlineLevel="0" collapsed="false">
      <c r="B37" s="5" t="s">
        <v>69</v>
      </c>
      <c r="C37" s="16" t="n">
        <v>4</v>
      </c>
      <c r="D37" s="17" t="n">
        <f aca="false">Indicadores!C20</f>
        <v>4</v>
      </c>
      <c r="E37" s="14" t="s">
        <v>70</v>
      </c>
    </row>
    <row r="38" customFormat="false" ht="27.75" hidden="false" customHeight="true" outlineLevel="0" collapsed="false">
      <c r="B38" s="5" t="s">
        <v>71</v>
      </c>
      <c r="C38" s="6" t="s">
        <v>72</v>
      </c>
      <c r="D38" s="13" t="n">
        <f aca="false">'DRE Anual'!G9</f>
        <v>610512.204294033</v>
      </c>
      <c r="E38" s="14" t="s">
        <v>73</v>
      </c>
    </row>
    <row r="39" customFormat="false" ht="27.75" hidden="false" customHeight="true" outlineLevel="0" collapsed="false">
      <c r="B39" s="5" t="s">
        <v>74</v>
      </c>
      <c r="C39" s="6" t="s">
        <v>75</v>
      </c>
      <c r="D39" s="13" t="n">
        <f aca="false">Indicadores!C22</f>
        <v>875.345654272</v>
      </c>
      <c r="E39" s="14" t="s">
        <v>76</v>
      </c>
    </row>
  </sheetData>
  <mergeCells count="1">
    <mergeCell ref="B5:D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4213D"/>
    <pageSetUpPr fitToPage="true"/>
  </sheetPr>
  <dimension ref="B2:Q7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2"/>
    <col collapsed="false" customWidth="true" hidden="false" outlineLevel="0" max="5" min="5" style="0" width="30"/>
    <col collapsed="false" customWidth="true" hidden="false" outlineLevel="0" max="6" min="6" style="0" width="18"/>
    <col collapsed="false" customWidth="true" hidden="false" outlineLevel="0" max="7" min="7" style="0" width="2"/>
    <col collapsed="false" customWidth="true" hidden="false" outlineLevel="0" max="8" min="8" style="0" width="30"/>
    <col collapsed="false" customWidth="true" hidden="false" outlineLevel="0" max="9" min="9" style="0" width="18"/>
    <col collapsed="false" customWidth="true" hidden="false" outlineLevel="0" max="16" min="16" style="0" width="24"/>
    <col collapsed="false" customWidth="true" hidden="false" outlineLevel="0" max="17" min="17" style="0" width="14"/>
  </cols>
  <sheetData>
    <row r="2" customFormat="false" ht="21.75" hidden="false" customHeight="true" outlineLevel="0" collapsed="false">
      <c r="B2" s="1" t="s">
        <v>77</v>
      </c>
    </row>
    <row r="3" customFormat="false" ht="15" hidden="false" customHeight="false" outlineLevel="0" collapsed="false">
      <c r="B3" s="2" t="s">
        <v>78</v>
      </c>
    </row>
    <row r="5" customFormat="false" ht="15" hidden="false" customHeight="false" outlineLevel="0" collapsed="false">
      <c r="B5" s="18" t="s">
        <v>79</v>
      </c>
      <c r="C5" s="19"/>
      <c r="E5" s="18" t="s">
        <v>67</v>
      </c>
      <c r="F5" s="19"/>
      <c r="H5" s="18" t="s">
        <v>62</v>
      </c>
      <c r="I5" s="19"/>
    </row>
    <row r="6" customFormat="false" ht="21.75" hidden="false" customHeight="true" outlineLevel="0" collapsed="false">
      <c r="B6" s="20" t="str">
        <f aca="false">CHOOSE(Premissas!$C$7,"Pessimista","Base","Otimista")</f>
        <v>Base</v>
      </c>
      <c r="C6" s="20"/>
      <c r="E6" s="21" t="n">
        <f aca="false">Indicadores!C7</f>
        <v>25840</v>
      </c>
      <c r="F6" s="21"/>
      <c r="H6" s="21" t="n">
        <f aca="false">Indicadores!E8</f>
        <v>3225000</v>
      </c>
      <c r="I6" s="21"/>
    </row>
    <row r="8" customFormat="false" ht="15" hidden="false" customHeight="false" outlineLevel="0" collapsed="false">
      <c r="B8" s="18" t="s">
        <v>80</v>
      </c>
      <c r="C8" s="19"/>
      <c r="E8" s="18" t="s">
        <v>81</v>
      </c>
      <c r="F8" s="19"/>
      <c r="H8" s="18" t="s">
        <v>82</v>
      </c>
      <c r="I8" s="19"/>
    </row>
    <row r="9" customFormat="false" ht="21.75" hidden="false" customHeight="true" outlineLevel="0" collapsed="false">
      <c r="B9" s="21" t="n">
        <f aca="false">Indicadores!C9</f>
        <v>328990.729762286</v>
      </c>
      <c r="C9" s="21"/>
      <c r="E9" s="21" t="n">
        <f aca="false">Indicadores!D9</f>
        <v>1703065.87441969</v>
      </c>
      <c r="F9" s="21"/>
      <c r="H9" s="22" t="n">
        <f aca="false">Indicadores!E15</f>
        <v>0.729875285490222</v>
      </c>
      <c r="I9" s="22"/>
    </row>
    <row r="11" customFormat="false" ht="15" hidden="false" customHeight="false" outlineLevel="0" collapsed="false">
      <c r="B11" s="18" t="s">
        <v>83</v>
      </c>
      <c r="C11" s="19"/>
      <c r="E11" s="18" t="s">
        <v>84</v>
      </c>
      <c r="F11" s="19"/>
      <c r="H11" s="18" t="s">
        <v>85</v>
      </c>
      <c r="I11" s="19"/>
    </row>
    <row r="12" customFormat="false" ht="21.75" hidden="false" customHeight="true" outlineLevel="0" collapsed="false">
      <c r="B12" s="23" t="n">
        <f aca="false">Indicadores!C20</f>
        <v>4</v>
      </c>
      <c r="C12" s="23"/>
      <c r="E12" s="23" t="n">
        <f aca="false">Indicadores!C12</f>
        <v>7</v>
      </c>
      <c r="F12" s="23"/>
      <c r="H12" s="24" t="n">
        <f aca="false">'Receita e Clientes'!AA11</f>
        <v>40</v>
      </c>
      <c r="I12" s="24"/>
    </row>
    <row r="71" customFormat="false" ht="15" hidden="false" customHeight="false" outlineLevel="0" collapsed="false">
      <c r="P71" s="25" t="s">
        <v>86</v>
      </c>
    </row>
    <row r="72" customFormat="false" ht="15" hidden="false" customHeight="false" outlineLevel="0" collapsed="false">
      <c r="P72" s="25" t="s">
        <v>87</v>
      </c>
      <c r="Q72" s="26" t="n">
        <f aca="false">'DRE Mensal'!AC9</f>
        <v>52200</v>
      </c>
    </row>
    <row r="73" customFormat="false" ht="15" hidden="false" customHeight="false" outlineLevel="0" collapsed="false">
      <c r="P73" s="25" t="s">
        <v>88</v>
      </c>
      <c r="Q73" s="26" t="n">
        <f aca="false">'DRE Mensal'!AC10</f>
        <v>507610.858140187</v>
      </c>
    </row>
    <row r="74" customFormat="false" ht="15" hidden="false" customHeight="false" outlineLevel="0" collapsed="false">
      <c r="P74" s="25" t="s">
        <v>89</v>
      </c>
      <c r="Q74" s="26" t="n">
        <f aca="false">'DRE Mensal'!AC11</f>
        <v>131544</v>
      </c>
    </row>
    <row r="75" customFormat="false" ht="15" hidden="false" customHeight="false" outlineLevel="0" collapsed="false">
      <c r="P75" s="25" t="s">
        <v>90</v>
      </c>
      <c r="Q75" s="26" t="n">
        <f aca="false">'DRE Mensal'!AC12</f>
        <v>26100</v>
      </c>
    </row>
    <row r="76" customFormat="false" ht="15" hidden="false" customHeight="false" outlineLevel="0" collapsed="false">
      <c r="P76" s="25" t="s">
        <v>91</v>
      </c>
      <c r="Q76" s="26" t="n">
        <f aca="false">'DRE Mensal'!AC16</f>
        <v>101400</v>
      </c>
    </row>
    <row r="77" customFormat="false" ht="15" hidden="false" customHeight="false" outlineLevel="0" collapsed="false">
      <c r="P77" s="25" t="s">
        <v>92</v>
      </c>
      <c r="Q77" s="26" t="n">
        <f aca="false">'DRE Mensal'!AC17</f>
        <v>96600</v>
      </c>
    </row>
    <row r="78" customFormat="false" ht="15" hidden="false" customHeight="false" outlineLevel="0" collapsed="false">
      <c r="P78" s="25" t="s">
        <v>93</v>
      </c>
      <c r="Q78" s="26" t="n">
        <f aca="false">'DRE Mensal'!AC18</f>
        <v>72000</v>
      </c>
    </row>
    <row r="79" customFormat="false" ht="15" hidden="false" customHeight="false" outlineLevel="0" collapsed="false">
      <c r="P79" s="25" t="s">
        <v>94</v>
      </c>
      <c r="Q79" s="26" t="n">
        <f aca="false">'DRE Mensal'!AC19</f>
        <v>1220</v>
      </c>
    </row>
  </sheetData>
  <mergeCells count="9">
    <mergeCell ref="B6:C6"/>
    <mergeCell ref="E6:F6"/>
    <mergeCell ref="H6:I6"/>
    <mergeCell ref="B9:C9"/>
    <mergeCell ref="E9:F9"/>
    <mergeCell ref="H9:I9"/>
    <mergeCell ref="B12:C12"/>
    <mergeCell ref="E12:F12"/>
    <mergeCell ref="H12:I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B6E0"/>
    <pageSetUpPr fitToPage="true"/>
  </sheetPr>
  <dimension ref="B2:H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8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90"/>
    <col collapsed="false" customWidth="true" hidden="false" outlineLevel="0" max="8" min="6" style="0" width="12"/>
  </cols>
  <sheetData>
    <row r="2" customFormat="false" ht="21.75" hidden="false" customHeight="true" outlineLevel="0" collapsed="false">
      <c r="B2" s="1" t="s">
        <v>95</v>
      </c>
    </row>
    <row r="3" customFormat="false" ht="15" hidden="false" customHeight="false" outlineLevel="0" collapsed="false">
      <c r="B3" s="2" t="s">
        <v>96</v>
      </c>
    </row>
    <row r="5" customFormat="false" ht="15" hidden="false" customHeight="false" outlineLevel="0" collapsed="false">
      <c r="B5" s="4" t="s">
        <v>97</v>
      </c>
      <c r="C5" s="4" t="s">
        <v>98</v>
      </c>
      <c r="D5" s="4" t="s">
        <v>99</v>
      </c>
      <c r="E5" s="4" t="s">
        <v>100</v>
      </c>
    </row>
    <row r="6" customFormat="false" ht="15" hidden="false" customHeight="false" outlineLevel="0" collapsed="false">
      <c r="B6" s="27" t="s">
        <v>101</v>
      </c>
      <c r="C6" s="28"/>
      <c r="D6" s="28"/>
      <c r="E6" s="28"/>
    </row>
    <row r="7" customFormat="false" ht="15" hidden="false" customHeight="false" outlineLevel="0" collapsed="false">
      <c r="B7" s="6" t="s">
        <v>102</v>
      </c>
      <c r="C7" s="29" t="n">
        <v>2</v>
      </c>
      <c r="D7" s="25" t="s">
        <v>103</v>
      </c>
      <c r="E7" s="14" t="s">
        <v>104</v>
      </c>
    </row>
    <row r="8" customFormat="false" ht="15" hidden="false" customHeight="false" outlineLevel="0" collapsed="false">
      <c r="B8" s="5" t="s">
        <v>105</v>
      </c>
      <c r="F8" s="30" t="s">
        <v>106</v>
      </c>
      <c r="G8" s="30" t="s">
        <v>107</v>
      </c>
      <c r="H8" s="30" t="s">
        <v>108</v>
      </c>
    </row>
    <row r="9" customFormat="false" ht="15" hidden="false" customHeight="false" outlineLevel="0" collapsed="false">
      <c r="B9" s="6" t="s">
        <v>109</v>
      </c>
      <c r="C9" s="31" t="n">
        <f aca="false">INDEX(F9:H9,Premissas!$C$7)</f>
        <v>1</v>
      </c>
      <c r="D9" s="25" t="s">
        <v>110</v>
      </c>
      <c r="E9" s="14" t="s">
        <v>111</v>
      </c>
      <c r="F9" s="32" t="n">
        <v>0.6</v>
      </c>
      <c r="G9" s="32" t="n">
        <v>1</v>
      </c>
      <c r="H9" s="32" t="n">
        <v>1.3</v>
      </c>
    </row>
    <row r="10" customFormat="false" ht="15" hidden="false" customHeight="false" outlineLevel="0" collapsed="false">
      <c r="B10" s="6" t="s">
        <v>112</v>
      </c>
      <c r="C10" s="31" t="n">
        <f aca="false">INDEX(F10:H10,Premissas!$C$7)</f>
        <v>1</v>
      </c>
      <c r="D10" s="25" t="s">
        <v>110</v>
      </c>
      <c r="E10" s="14" t="s">
        <v>113</v>
      </c>
      <c r="F10" s="32" t="n">
        <v>0.92</v>
      </c>
      <c r="G10" s="32" t="n">
        <v>1</v>
      </c>
      <c r="H10" s="32" t="n">
        <v>1</v>
      </c>
    </row>
    <row r="11" customFormat="false" ht="22.35" hidden="false" customHeight="false" outlineLevel="0" collapsed="false">
      <c r="B11" s="6" t="s">
        <v>114</v>
      </c>
      <c r="C11" s="33" t="n">
        <f aca="false">INDEX(F11:H11,Premissas!$C$7)</f>
        <v>0</v>
      </c>
      <c r="D11" s="25" t="s">
        <v>115</v>
      </c>
      <c r="E11" s="14" t="s">
        <v>116</v>
      </c>
      <c r="F11" s="34" t="n">
        <v>0.02</v>
      </c>
      <c r="G11" s="34" t="n">
        <v>0</v>
      </c>
      <c r="H11" s="34" t="n">
        <v>0</v>
      </c>
    </row>
    <row r="12" customFormat="false" ht="15" hidden="false" customHeight="false" outlineLevel="0" collapsed="false">
      <c r="B12" s="6" t="s">
        <v>117</v>
      </c>
      <c r="C12" s="31" t="n">
        <f aca="false">INDEX(F12:H12,Premissas!$C$7)</f>
        <v>1</v>
      </c>
      <c r="D12" s="25" t="s">
        <v>110</v>
      </c>
      <c r="E12" s="14" t="s">
        <v>118</v>
      </c>
      <c r="F12" s="32" t="n">
        <v>1.3</v>
      </c>
      <c r="G12" s="32" t="n">
        <v>1</v>
      </c>
      <c r="H12" s="32" t="n">
        <v>0.9</v>
      </c>
    </row>
    <row r="13" customFormat="false" ht="15" hidden="false" customHeight="false" outlineLevel="0" collapsed="false">
      <c r="B13" s="27" t="s">
        <v>119</v>
      </c>
      <c r="C13" s="28"/>
      <c r="D13" s="28"/>
      <c r="E13" s="28"/>
    </row>
    <row r="14" customFormat="false" ht="15" hidden="false" customHeight="false" outlineLevel="0" collapsed="false">
      <c r="B14" s="6" t="s">
        <v>120</v>
      </c>
      <c r="C14" s="35" t="n">
        <v>300</v>
      </c>
      <c r="D14" s="25" t="s">
        <v>121</v>
      </c>
      <c r="E14" s="14" t="s">
        <v>122</v>
      </c>
    </row>
    <row r="15" customFormat="false" ht="15" hidden="false" customHeight="false" outlineLevel="0" collapsed="false">
      <c r="B15" s="6" t="s">
        <v>123</v>
      </c>
      <c r="C15" s="36" t="n">
        <v>25</v>
      </c>
      <c r="D15" s="25" t="s">
        <v>124</v>
      </c>
      <c r="E15" s="14" t="s">
        <v>125</v>
      </c>
    </row>
    <row r="16" customFormat="false" ht="15" hidden="false" customHeight="false" outlineLevel="0" collapsed="false">
      <c r="B16" s="6" t="s">
        <v>126</v>
      </c>
      <c r="C16" s="37" t="n">
        <f aca="false">Premissas!$C$15*Premissas!$C$10</f>
        <v>25</v>
      </c>
      <c r="D16" s="25" t="s">
        <v>124</v>
      </c>
      <c r="E16" s="14" t="s">
        <v>127</v>
      </c>
    </row>
    <row r="17" customFormat="false" ht="15" hidden="false" customHeight="false" outlineLevel="0" collapsed="false">
      <c r="B17" s="6" t="s">
        <v>128</v>
      </c>
      <c r="C17" s="38" t="n">
        <f aca="false">Premissas!$C$14*Premissas!$C$16</f>
        <v>7500</v>
      </c>
      <c r="D17" s="25" t="s">
        <v>129</v>
      </c>
      <c r="E17" s="14" t="s">
        <v>130</v>
      </c>
    </row>
    <row r="18" customFormat="false" ht="15" hidden="false" customHeight="false" outlineLevel="0" collapsed="false">
      <c r="B18" s="6" t="s">
        <v>131</v>
      </c>
      <c r="C18" s="39" t="n">
        <v>29</v>
      </c>
      <c r="D18" s="25" t="s">
        <v>124</v>
      </c>
      <c r="E18" s="14" t="s">
        <v>132</v>
      </c>
    </row>
    <row r="19" customFormat="false" ht="15" hidden="false" customHeight="false" outlineLevel="0" collapsed="false">
      <c r="B19" s="6" t="s">
        <v>133</v>
      </c>
      <c r="C19" s="39" t="n">
        <v>24</v>
      </c>
      <c r="D19" s="25" t="s">
        <v>124</v>
      </c>
      <c r="E19" s="14" t="s">
        <v>134</v>
      </c>
    </row>
    <row r="20" customFormat="false" ht="15" hidden="false" customHeight="false" outlineLevel="0" collapsed="false">
      <c r="B20" s="6" t="s">
        <v>135</v>
      </c>
      <c r="C20" s="39" t="n">
        <v>19</v>
      </c>
      <c r="D20" s="25" t="s">
        <v>124</v>
      </c>
      <c r="E20" s="14" t="s">
        <v>134</v>
      </c>
    </row>
    <row r="21" customFormat="false" ht="15" hidden="false" customHeight="false" outlineLevel="0" collapsed="false">
      <c r="B21" s="27" t="s">
        <v>136</v>
      </c>
      <c r="C21" s="28"/>
      <c r="D21" s="28"/>
      <c r="E21" s="28"/>
    </row>
    <row r="22" customFormat="false" ht="15" hidden="false" customHeight="false" outlineLevel="0" collapsed="false">
      <c r="B22" s="6" t="s">
        <v>137</v>
      </c>
      <c r="C22" s="40" t="n">
        <v>0.2</v>
      </c>
      <c r="D22" s="25" t="s">
        <v>138</v>
      </c>
      <c r="E22" s="14" t="s">
        <v>139</v>
      </c>
    </row>
    <row r="23" customFormat="false" ht="15" hidden="false" customHeight="false" outlineLevel="0" collapsed="false">
      <c r="B23" s="6" t="s">
        <v>140</v>
      </c>
      <c r="C23" s="40" t="n">
        <v>0.4</v>
      </c>
      <c r="D23" s="25" t="s">
        <v>138</v>
      </c>
      <c r="E23" s="14" t="s">
        <v>134</v>
      </c>
    </row>
    <row r="24" customFormat="false" ht="15" hidden="false" customHeight="false" outlineLevel="0" collapsed="false">
      <c r="B24" s="6" t="s">
        <v>141</v>
      </c>
      <c r="C24" s="40" t="n">
        <v>0.5</v>
      </c>
      <c r="D24" s="25" t="s">
        <v>138</v>
      </c>
      <c r="E24" s="14" t="s">
        <v>134</v>
      </c>
    </row>
    <row r="25" customFormat="false" ht="15" hidden="false" customHeight="false" outlineLevel="0" collapsed="false">
      <c r="B25" s="6" t="s">
        <v>142</v>
      </c>
      <c r="C25" s="40" t="n">
        <v>0.5</v>
      </c>
      <c r="D25" s="25" t="s">
        <v>138</v>
      </c>
      <c r="E25" s="14" t="s">
        <v>134</v>
      </c>
    </row>
    <row r="26" customFormat="false" ht="15" hidden="false" customHeight="false" outlineLevel="0" collapsed="false">
      <c r="B26" s="6" t="s">
        <v>143</v>
      </c>
      <c r="C26" s="33" t="n">
        <f aca="false">Premissas!$C$22*Premissas!$C$23*Premissas!$C$24*Premissas!$C$25</f>
        <v>0.02</v>
      </c>
      <c r="D26" s="25" t="s">
        <v>138</v>
      </c>
      <c r="E26" s="14" t="s">
        <v>144</v>
      </c>
    </row>
    <row r="27" customFormat="false" ht="15" hidden="false" customHeight="false" outlineLevel="0" collapsed="false">
      <c r="B27" s="27" t="s">
        <v>145</v>
      </c>
      <c r="C27" s="28"/>
      <c r="D27" s="28"/>
      <c r="E27" s="28"/>
    </row>
    <row r="28" customFormat="false" ht="15" hidden="false" customHeight="false" outlineLevel="0" collapsed="false">
      <c r="B28" s="6" t="s">
        <v>146</v>
      </c>
      <c r="C28" s="35" t="n">
        <v>3</v>
      </c>
      <c r="D28" s="25" t="s">
        <v>147</v>
      </c>
      <c r="E28" s="14" t="s">
        <v>148</v>
      </c>
    </row>
    <row r="29" customFormat="false" ht="15" hidden="false" customHeight="false" outlineLevel="0" collapsed="false">
      <c r="B29" s="6" t="s">
        <v>149</v>
      </c>
      <c r="C29" s="41" t="n">
        <v>4</v>
      </c>
      <c r="D29" s="25" t="s">
        <v>150</v>
      </c>
      <c r="E29" s="14" t="s">
        <v>151</v>
      </c>
    </row>
    <row r="30" customFormat="false" ht="15" hidden="false" customHeight="false" outlineLevel="0" collapsed="false">
      <c r="B30" s="6" t="s">
        <v>152</v>
      </c>
      <c r="C30" s="41" t="n">
        <v>3</v>
      </c>
      <c r="D30" s="25" t="s">
        <v>150</v>
      </c>
      <c r="E30" s="14" t="s">
        <v>153</v>
      </c>
    </row>
    <row r="31" customFormat="false" ht="15" hidden="false" customHeight="false" outlineLevel="0" collapsed="false">
      <c r="B31" s="6" t="s">
        <v>154</v>
      </c>
      <c r="C31" s="41" t="n">
        <v>9</v>
      </c>
      <c r="D31" s="25" t="s">
        <v>150</v>
      </c>
      <c r="E31" s="14" t="s">
        <v>134</v>
      </c>
    </row>
    <row r="32" customFormat="false" ht="15" hidden="false" customHeight="false" outlineLevel="0" collapsed="false">
      <c r="B32" s="6" t="s">
        <v>155</v>
      </c>
      <c r="C32" s="41" t="n">
        <v>18</v>
      </c>
      <c r="D32" s="25" t="s">
        <v>150</v>
      </c>
      <c r="E32" s="14" t="s">
        <v>156</v>
      </c>
    </row>
    <row r="33" customFormat="false" ht="15" hidden="false" customHeight="false" outlineLevel="0" collapsed="false">
      <c r="B33" s="6" t="s">
        <v>157</v>
      </c>
      <c r="C33" s="41" t="n">
        <v>13</v>
      </c>
      <c r="D33" s="25" t="s">
        <v>150</v>
      </c>
      <c r="E33" s="14" t="s">
        <v>158</v>
      </c>
    </row>
    <row r="34" customFormat="false" ht="15" hidden="false" customHeight="false" outlineLevel="0" collapsed="false">
      <c r="B34" s="27" t="s">
        <v>159</v>
      </c>
      <c r="C34" s="28"/>
      <c r="D34" s="28"/>
      <c r="E34" s="28"/>
    </row>
    <row r="35" customFormat="false" ht="15" hidden="false" customHeight="false" outlineLevel="0" collapsed="false">
      <c r="B35" s="6" t="s">
        <v>160</v>
      </c>
      <c r="C35" s="42" t="n">
        <v>3000</v>
      </c>
      <c r="D35" s="25" t="s">
        <v>161</v>
      </c>
      <c r="E35" s="14" t="s">
        <v>162</v>
      </c>
    </row>
    <row r="36" customFormat="false" ht="15" hidden="false" customHeight="false" outlineLevel="0" collapsed="false">
      <c r="B36" s="6" t="s">
        <v>163</v>
      </c>
      <c r="C36" s="38" t="n">
        <f aca="false">Premissas!$C$35*Premissas!$C$12</f>
        <v>3000</v>
      </c>
      <c r="D36" s="25" t="s">
        <v>161</v>
      </c>
      <c r="E36" s="14" t="s">
        <v>164</v>
      </c>
    </row>
    <row r="37" customFormat="false" ht="22.35" hidden="false" customHeight="false" outlineLevel="0" collapsed="false">
      <c r="B37" s="6" t="s">
        <v>165</v>
      </c>
      <c r="C37" s="39" t="n">
        <v>0.5</v>
      </c>
      <c r="D37" s="25" t="s">
        <v>124</v>
      </c>
      <c r="E37" s="14" t="s">
        <v>166</v>
      </c>
    </row>
    <row r="38" customFormat="false" ht="15" hidden="false" customHeight="false" outlineLevel="0" collapsed="false">
      <c r="B38" s="6" t="s">
        <v>167</v>
      </c>
      <c r="C38" s="40" t="n">
        <v>0.05</v>
      </c>
      <c r="D38" s="25" t="s">
        <v>168</v>
      </c>
      <c r="E38" s="14" t="s">
        <v>169</v>
      </c>
    </row>
    <row r="39" customFormat="false" ht="15" hidden="false" customHeight="false" outlineLevel="0" collapsed="false">
      <c r="B39" s="6" t="s">
        <v>170</v>
      </c>
      <c r="C39" s="39" t="n">
        <v>3</v>
      </c>
      <c r="D39" s="25" t="s">
        <v>129</v>
      </c>
      <c r="E39" s="14" t="s">
        <v>171</v>
      </c>
    </row>
    <row r="40" customFormat="false" ht="15" hidden="false" customHeight="false" outlineLevel="0" collapsed="false">
      <c r="B40" s="6" t="s">
        <v>172</v>
      </c>
      <c r="C40" s="40" t="n">
        <v>0.01</v>
      </c>
      <c r="D40" s="25" t="s">
        <v>168</v>
      </c>
      <c r="E40" s="14" t="s">
        <v>173</v>
      </c>
    </row>
    <row r="41" customFormat="false" ht="15" hidden="false" customHeight="false" outlineLevel="0" collapsed="false">
      <c r="B41" s="27" t="s">
        <v>174</v>
      </c>
      <c r="C41" s="28"/>
      <c r="D41" s="28"/>
      <c r="E41" s="28"/>
    </row>
    <row r="42" customFormat="false" ht="22.35" hidden="false" customHeight="false" outlineLevel="0" collapsed="false">
      <c r="B42" s="6" t="s">
        <v>175</v>
      </c>
      <c r="C42" s="6" t="s">
        <v>176</v>
      </c>
      <c r="D42" s="25" t="s">
        <v>177</v>
      </c>
      <c r="E42" s="14" t="s">
        <v>178</v>
      </c>
    </row>
    <row r="43" customFormat="false" ht="15" hidden="false" customHeight="false" outlineLevel="0" collapsed="false">
      <c r="B43" s="6" t="s">
        <v>179</v>
      </c>
      <c r="C43" s="15" t="n">
        <v>60</v>
      </c>
      <c r="D43" s="25" t="s">
        <v>180</v>
      </c>
      <c r="E43" s="14" t="s">
        <v>181</v>
      </c>
    </row>
    <row r="44" customFormat="false" ht="15" hidden="false" customHeight="false" outlineLevel="0" collapsed="false">
      <c r="B44" s="6" t="s">
        <v>182</v>
      </c>
      <c r="C44" s="43" t="n">
        <v>0.008</v>
      </c>
      <c r="D44" s="25" t="s">
        <v>115</v>
      </c>
      <c r="E44" s="14" t="s">
        <v>183</v>
      </c>
    </row>
    <row r="45" customFormat="false" ht="22.35" hidden="false" customHeight="false" outlineLevel="0" collapsed="false">
      <c r="B45" s="6" t="s">
        <v>184</v>
      </c>
      <c r="C45" s="40" t="n">
        <v>0.3</v>
      </c>
      <c r="D45" s="25" t="s">
        <v>185</v>
      </c>
      <c r="E45" s="14" t="s">
        <v>186</v>
      </c>
    </row>
    <row r="46" customFormat="false" ht="15" hidden="false" customHeight="false" outlineLevel="0" collapsed="false">
      <c r="B46" s="27" t="s">
        <v>187</v>
      </c>
      <c r="C46" s="28"/>
      <c r="D46" s="28"/>
      <c r="E46" s="28"/>
    </row>
    <row r="47" customFormat="false" ht="22.35" hidden="false" customHeight="false" outlineLevel="0" collapsed="false">
      <c r="B47" s="6" t="s">
        <v>188</v>
      </c>
      <c r="C47" s="40" t="n">
        <v>0.28</v>
      </c>
      <c r="D47" s="25" t="s">
        <v>138</v>
      </c>
      <c r="E47" s="14" t="s">
        <v>189</v>
      </c>
    </row>
    <row r="48" customFormat="false" ht="15" hidden="false" customHeight="false" outlineLevel="0" collapsed="false">
      <c r="B48" s="6" t="s">
        <v>190</v>
      </c>
      <c r="C48" s="35" t="n">
        <v>4</v>
      </c>
      <c r="D48" s="25" t="s">
        <v>191</v>
      </c>
      <c r="E48" s="14" t="s">
        <v>192</v>
      </c>
    </row>
    <row r="49" customFormat="false" ht="15" hidden="false" customHeight="false" outlineLevel="0" collapsed="false">
      <c r="B49" s="6" t="s">
        <v>193</v>
      </c>
      <c r="C49" s="39" t="n">
        <v>8475.55</v>
      </c>
      <c r="D49" s="25" t="s">
        <v>180</v>
      </c>
      <c r="E49" s="14" t="s">
        <v>194</v>
      </c>
    </row>
    <row r="50" customFormat="false" ht="15" hidden="false" customHeight="false" outlineLevel="0" collapsed="false">
      <c r="B50" s="6" t="s">
        <v>195</v>
      </c>
      <c r="C50" s="40" t="n">
        <v>0.11</v>
      </c>
      <c r="D50" s="25" t="s">
        <v>138</v>
      </c>
      <c r="E50" s="14" t="s">
        <v>196</v>
      </c>
    </row>
    <row r="51" customFormat="false" ht="15" hidden="false" customHeight="false" outlineLevel="0" collapsed="false">
      <c r="B51" s="27" t="s">
        <v>197</v>
      </c>
      <c r="C51" s="28"/>
      <c r="D51" s="28"/>
      <c r="E51" s="28"/>
    </row>
    <row r="52" customFormat="false" ht="15" hidden="false" customHeight="false" outlineLevel="0" collapsed="false">
      <c r="B52" s="6" t="s">
        <v>198</v>
      </c>
      <c r="C52" s="44" t="n">
        <v>3</v>
      </c>
      <c r="D52" s="25" t="s">
        <v>199</v>
      </c>
      <c r="E52" s="14" t="s">
        <v>200</v>
      </c>
    </row>
    <row r="53" customFormat="false" ht="15" hidden="false" customHeight="false" outlineLevel="0" collapsed="false">
      <c r="B53" s="6" t="s">
        <v>201</v>
      </c>
      <c r="C53" s="35" t="n">
        <v>1</v>
      </c>
      <c r="D53" s="25" t="s">
        <v>199</v>
      </c>
      <c r="E53" s="14" t="s">
        <v>202</v>
      </c>
    </row>
    <row r="54" customFormat="false" ht="15" hidden="false" customHeight="false" outlineLevel="0" collapsed="false">
      <c r="B54" s="6" t="s">
        <v>203</v>
      </c>
      <c r="C54" s="35" t="n">
        <v>60</v>
      </c>
      <c r="D54" s="25" t="s">
        <v>199</v>
      </c>
      <c r="E54" s="14" t="s">
        <v>204</v>
      </c>
    </row>
    <row r="55" customFormat="false" ht="15" hidden="false" customHeight="false" outlineLevel="0" collapsed="false">
      <c r="B55" s="6" t="s">
        <v>205</v>
      </c>
      <c r="C55" s="35" t="n">
        <v>60</v>
      </c>
      <c r="D55" s="25" t="s">
        <v>199</v>
      </c>
      <c r="E55" s="14" t="s">
        <v>206</v>
      </c>
    </row>
    <row r="56" customFormat="false" ht="15" hidden="false" customHeight="false" outlineLevel="0" collapsed="false">
      <c r="B56" s="27" t="s">
        <v>207</v>
      </c>
      <c r="C56" s="28"/>
      <c r="D56" s="28"/>
      <c r="E56" s="28"/>
    </row>
    <row r="57" customFormat="false" ht="15" hidden="false" customHeight="false" outlineLevel="0" collapsed="false">
      <c r="B57" s="6" t="s">
        <v>208</v>
      </c>
      <c r="C57" s="35" t="n">
        <v>40</v>
      </c>
      <c r="D57" s="25" t="s">
        <v>147</v>
      </c>
      <c r="E57" s="14" t="s">
        <v>209</v>
      </c>
    </row>
    <row r="58" customFormat="false" ht="15" hidden="false" customHeight="false" outlineLevel="0" collapsed="false">
      <c r="B58" s="6" t="s">
        <v>210</v>
      </c>
      <c r="C58" s="35" t="n">
        <v>36</v>
      </c>
      <c r="D58" s="25" t="s">
        <v>199</v>
      </c>
      <c r="E58" s="14" t="s">
        <v>211</v>
      </c>
    </row>
    <row r="59" customFormat="false" ht="15" hidden="false" customHeight="false" outlineLevel="0" collapsed="false">
      <c r="B59" s="6" t="s">
        <v>212</v>
      </c>
      <c r="C59" s="40" t="n">
        <v>0.2</v>
      </c>
      <c r="D59" s="25" t="s">
        <v>213</v>
      </c>
      <c r="E59" s="14" t="s">
        <v>214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B6E0"/>
    <pageSetUpPr fitToPage="true"/>
  </sheetPr>
  <dimension ref="B2:E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8"/>
    <col collapsed="false" customWidth="true" hidden="false" outlineLevel="0" max="3" min="3" style="0" width="16"/>
    <col collapsed="false" customWidth="true" hidden="false" outlineLevel="0" max="4" min="4" style="0" width="11"/>
    <col collapsed="false" customWidth="true" hidden="false" outlineLevel="0" max="5" min="5" style="0" width="80"/>
  </cols>
  <sheetData>
    <row r="2" customFormat="false" ht="21.75" hidden="false" customHeight="true" outlineLevel="0" collapsed="false">
      <c r="B2" s="1" t="s">
        <v>215</v>
      </c>
    </row>
    <row r="3" customFormat="false" ht="15" hidden="false" customHeight="false" outlineLevel="0" collapsed="false">
      <c r="B3" s="2" t="s">
        <v>216</v>
      </c>
    </row>
    <row r="5" customFormat="false" ht="15" hidden="false" customHeight="false" outlineLevel="0" collapsed="false">
      <c r="B5" s="4" t="s">
        <v>217</v>
      </c>
      <c r="C5" s="4" t="s">
        <v>218</v>
      </c>
      <c r="D5" s="4" t="s">
        <v>219</v>
      </c>
      <c r="E5" s="4" t="s">
        <v>220</v>
      </c>
    </row>
    <row r="6" customFormat="false" ht="15" hidden="false" customHeight="false" outlineLevel="0" collapsed="false">
      <c r="B6" s="45" t="s">
        <v>221</v>
      </c>
      <c r="C6" s="28"/>
      <c r="D6" s="28"/>
      <c r="E6" s="28"/>
    </row>
    <row r="7" customFormat="false" ht="15" hidden="false" customHeight="false" outlineLevel="0" collapsed="false">
      <c r="B7" s="6" t="s">
        <v>222</v>
      </c>
      <c r="C7" s="15" t="n">
        <v>500</v>
      </c>
      <c r="E7" s="14" t="s">
        <v>223</v>
      </c>
    </row>
    <row r="8" customFormat="false" ht="15" hidden="false" customHeight="false" outlineLevel="0" collapsed="false">
      <c r="B8" s="6" t="s">
        <v>224</v>
      </c>
      <c r="C8" s="15" t="n">
        <v>1500</v>
      </c>
      <c r="E8" s="14" t="s">
        <v>225</v>
      </c>
    </row>
    <row r="9" customFormat="false" ht="15" hidden="false" customHeight="false" outlineLevel="0" collapsed="false">
      <c r="B9" s="6" t="s">
        <v>226</v>
      </c>
      <c r="C9" s="15" t="n">
        <v>440</v>
      </c>
      <c r="E9" s="14" t="s">
        <v>227</v>
      </c>
    </row>
    <row r="10" customFormat="false" ht="15" hidden="false" customHeight="false" outlineLevel="0" collapsed="false">
      <c r="B10" s="6" t="s">
        <v>228</v>
      </c>
      <c r="C10" s="15" t="n">
        <v>2000</v>
      </c>
      <c r="E10" s="14" t="s">
        <v>229</v>
      </c>
    </row>
    <row r="11" customFormat="false" ht="15" hidden="false" customHeight="false" outlineLevel="0" collapsed="false">
      <c r="B11" s="6" t="s">
        <v>230</v>
      </c>
      <c r="C11" s="15" t="n">
        <v>800</v>
      </c>
      <c r="E11" s="14" t="s">
        <v>231</v>
      </c>
    </row>
    <row r="12" customFormat="false" ht="15" hidden="false" customHeight="false" outlineLevel="0" collapsed="false">
      <c r="B12" s="5" t="s">
        <v>232</v>
      </c>
      <c r="C12" s="46" t="n">
        <f aca="false">SUM(C7:C11)</f>
        <v>5240</v>
      </c>
      <c r="D12" s="47" t="n">
        <f aca="false">C12/$C$31</f>
        <v>0.202786377708978</v>
      </c>
    </row>
    <row r="13" customFormat="false" ht="15" hidden="false" customHeight="false" outlineLevel="0" collapsed="false">
      <c r="B13" s="45" t="s">
        <v>233</v>
      </c>
      <c r="C13" s="28"/>
      <c r="D13" s="28"/>
      <c r="E13" s="28"/>
    </row>
    <row r="14" customFormat="false" ht="15" hidden="false" customHeight="false" outlineLevel="0" collapsed="false">
      <c r="B14" s="6" t="s">
        <v>234</v>
      </c>
      <c r="C14" s="15" t="n">
        <v>0</v>
      </c>
      <c r="E14" s="14" t="s">
        <v>235</v>
      </c>
    </row>
    <row r="15" customFormat="false" ht="15" hidden="false" customHeight="false" outlineLevel="0" collapsed="false">
      <c r="B15" s="6" t="s">
        <v>236</v>
      </c>
      <c r="C15" s="15" t="n">
        <v>5500</v>
      </c>
      <c r="E15" s="14" t="s">
        <v>237</v>
      </c>
    </row>
    <row r="16" customFormat="false" ht="15" hidden="false" customHeight="false" outlineLevel="0" collapsed="false">
      <c r="B16" s="6" t="s">
        <v>238</v>
      </c>
      <c r="C16" s="15" t="n">
        <v>0</v>
      </c>
      <c r="E16" s="14" t="s">
        <v>239</v>
      </c>
    </row>
    <row r="17" customFormat="false" ht="15" hidden="false" customHeight="false" outlineLevel="0" collapsed="false">
      <c r="B17" s="6" t="s">
        <v>240</v>
      </c>
      <c r="C17" s="15" t="n">
        <v>600</v>
      </c>
      <c r="E17" s="14" t="s">
        <v>241</v>
      </c>
    </row>
    <row r="18" customFormat="false" ht="15" hidden="false" customHeight="false" outlineLevel="0" collapsed="false">
      <c r="B18" s="6" t="s">
        <v>242</v>
      </c>
      <c r="C18" s="15" t="n">
        <v>0</v>
      </c>
      <c r="E18" s="14" t="s">
        <v>243</v>
      </c>
    </row>
    <row r="19" customFormat="false" ht="15" hidden="false" customHeight="false" outlineLevel="0" collapsed="false">
      <c r="B19" s="5" t="s">
        <v>244</v>
      </c>
      <c r="C19" s="46" t="n">
        <f aca="false">SUM(C14:C18)</f>
        <v>6100</v>
      </c>
      <c r="D19" s="47" t="n">
        <f aca="false">C19/$C$31</f>
        <v>0.236068111455108</v>
      </c>
    </row>
    <row r="20" customFormat="false" ht="15" hidden="false" customHeight="false" outlineLevel="0" collapsed="false">
      <c r="B20" s="45" t="s">
        <v>245</v>
      </c>
      <c r="C20" s="28"/>
      <c r="D20" s="28"/>
      <c r="E20" s="28"/>
    </row>
    <row r="21" customFormat="false" ht="15" hidden="false" customHeight="false" outlineLevel="0" collapsed="false">
      <c r="B21" s="6" t="s">
        <v>246</v>
      </c>
      <c r="C21" s="15" t="n">
        <v>0</v>
      </c>
      <c r="E21" s="14" t="s">
        <v>247</v>
      </c>
    </row>
    <row r="22" customFormat="false" ht="15" hidden="false" customHeight="false" outlineLevel="0" collapsed="false">
      <c r="B22" s="5" t="s">
        <v>248</v>
      </c>
    </row>
    <row r="23" customFormat="false" ht="15" hidden="false" customHeight="false" outlineLevel="0" collapsed="false">
      <c r="B23" s="6" t="s">
        <v>249</v>
      </c>
      <c r="C23" s="13" t="n">
        <f aca="false">('Custos Fixos'!$C$14+'Custos Fixos'!$C$15+'Custos Fixos'!$C$16)*Premissas!$C$52</f>
        <v>450</v>
      </c>
      <c r="E23" s="14" t="s">
        <v>250</v>
      </c>
    </row>
    <row r="24" customFormat="false" ht="15" hidden="false" customHeight="false" outlineLevel="0" collapsed="false">
      <c r="B24" s="6" t="s">
        <v>251</v>
      </c>
      <c r="C24" s="13" t="n">
        <f aca="false">('Custos Fixos'!$C$12+'Custos Fixos'!$C$13)*Premissas!$C$52</f>
        <v>0</v>
      </c>
      <c r="E24" s="14" t="s">
        <v>134</v>
      </c>
    </row>
    <row r="25" customFormat="false" ht="15" hidden="false" customHeight="false" outlineLevel="0" collapsed="false">
      <c r="B25" s="6" t="s">
        <v>252</v>
      </c>
      <c r="C25" s="13" t="n">
        <f aca="false">('Custos Fixos'!$C$18)*Premissas!$C$52</f>
        <v>0</v>
      </c>
      <c r="E25" s="14" t="s">
        <v>134</v>
      </c>
    </row>
    <row r="26" customFormat="false" ht="15" hidden="false" customHeight="false" outlineLevel="0" collapsed="false">
      <c r="B26" s="6" t="s">
        <v>253</v>
      </c>
      <c r="C26" s="13" t="n">
        <f aca="false">('Custos Fixos'!$C$23)*Premissas!$C$52</f>
        <v>0</v>
      </c>
      <c r="E26" s="14" t="s">
        <v>134</v>
      </c>
    </row>
    <row r="27" customFormat="false" ht="15" hidden="false" customHeight="false" outlineLevel="0" collapsed="false">
      <c r="B27" s="6" t="s">
        <v>254</v>
      </c>
      <c r="C27" s="13" t="n">
        <f aca="false">'Custos Fixos'!$C$29*Premissas!$C$52</f>
        <v>0</v>
      </c>
      <c r="E27" s="14" t="s">
        <v>255</v>
      </c>
    </row>
    <row r="28" customFormat="false" ht="15" hidden="false" customHeight="false" outlineLevel="0" collapsed="false">
      <c r="B28" s="6" t="s">
        <v>256</v>
      </c>
      <c r="C28" s="13" t="n">
        <f aca="false">('Custos Fixos'!$C$17+'Custos Fixos'!$C$19+'Custos Fixos'!$C$20+'Custos Fixos'!$C$21+'Custos Fixos'!$C$22+'Custos Fixos'!$C$24+'Custos Fixos'!$C$25+'Custos Fixos'!$C$26+'Custos Fixos'!$C$27)*Premissas!$C$52</f>
        <v>7050</v>
      </c>
      <c r="E28" s="14" t="s">
        <v>134</v>
      </c>
    </row>
    <row r="29" customFormat="false" ht="15" hidden="false" customHeight="false" outlineLevel="0" collapsed="false">
      <c r="B29" s="6" t="s">
        <v>257</v>
      </c>
      <c r="C29" s="13" t="n">
        <f aca="false">'Custos Fixos'!$D$30*Premissas!$C$53</f>
        <v>7000</v>
      </c>
      <c r="E29" s="14" t="s">
        <v>258</v>
      </c>
    </row>
    <row r="30" customFormat="false" ht="15" hidden="false" customHeight="false" outlineLevel="0" collapsed="false">
      <c r="B30" s="5" t="s">
        <v>259</v>
      </c>
      <c r="C30" s="46" t="n">
        <f aca="false">SUM(C21:C29)</f>
        <v>14500</v>
      </c>
      <c r="D30" s="47" t="n">
        <f aca="false">C30/$C$31</f>
        <v>0.561145510835913</v>
      </c>
    </row>
    <row r="31" customFormat="false" ht="15" hidden="false" customHeight="false" outlineLevel="0" collapsed="false">
      <c r="B31" s="48" t="s">
        <v>260</v>
      </c>
      <c r="C31" s="49" t="n">
        <f aca="false">C12+C19+C30</f>
        <v>25840</v>
      </c>
      <c r="D31" s="47" t="n">
        <f aca="false">C31/$C$31</f>
        <v>1</v>
      </c>
    </row>
    <row r="33" customFormat="false" ht="15" hidden="false" customHeight="false" outlineLevel="0" collapsed="false">
      <c r="B33" s="27" t="s">
        <v>261</v>
      </c>
      <c r="C33" s="28"/>
      <c r="D33" s="28"/>
      <c r="E33" s="28"/>
    </row>
    <row r="34" customFormat="false" ht="15" hidden="false" customHeight="false" outlineLevel="0" collapsed="false">
      <c r="B34" s="6" t="s">
        <v>262</v>
      </c>
      <c r="C34" s="50" t="n">
        <v>1</v>
      </c>
      <c r="E34" s="14" t="s">
        <v>263</v>
      </c>
    </row>
    <row r="35" customFormat="false" ht="15" hidden="false" customHeight="false" outlineLevel="0" collapsed="false">
      <c r="B35" s="6" t="s">
        <v>264</v>
      </c>
      <c r="C35" s="38" t="n">
        <f aca="false">C31*C34</f>
        <v>25840</v>
      </c>
    </row>
    <row r="36" customFormat="false" ht="15" hidden="false" customHeight="false" outlineLevel="0" collapsed="false">
      <c r="B36" s="6" t="s">
        <v>265</v>
      </c>
      <c r="C36" s="38" t="n">
        <f aca="false">C31-C35</f>
        <v>0</v>
      </c>
      <c r="E36" s="25" t="s">
        <v>266</v>
      </c>
    </row>
    <row r="37" customFormat="false" ht="15" hidden="false" customHeight="false" outlineLevel="0" collapsed="false">
      <c r="B37" s="6" t="s">
        <v>267</v>
      </c>
      <c r="C37" s="38" t="n">
        <f aca="false">C35/Premissas!$C$48</f>
        <v>6460</v>
      </c>
    </row>
    <row r="39" customFormat="false" ht="22.35" hidden="false" customHeight="false" outlineLevel="0" collapsed="false">
      <c r="B39" s="5" t="s">
        <v>268</v>
      </c>
      <c r="C39" s="37" t="n">
        <f aca="false">C15/Premissas!$C$54+(C17+C14+C16)/Premissas!$C$55+C18/Premissas!$C$54</f>
        <v>101.666666666667</v>
      </c>
      <c r="E39" s="14" t="s">
        <v>269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B6E0"/>
    <pageSetUpPr fitToPage="true"/>
  </sheetPr>
  <dimension ref="B2:AD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4"/>
    <col collapsed="false" customWidth="true" hidden="false" outlineLevel="0" max="27" min="3" style="0" width="11.5"/>
    <col collapsed="false" customWidth="true" hidden="false" outlineLevel="0" max="30" min="28" style="0" width="13.5"/>
  </cols>
  <sheetData>
    <row r="2" customFormat="false" ht="21.75" hidden="false" customHeight="true" outlineLevel="0" collapsed="false">
      <c r="B2" s="1" t="s">
        <v>270</v>
      </c>
    </row>
    <row r="3" customFormat="false" ht="15" hidden="false" customHeight="false" outlineLevel="0" collapsed="false">
      <c r="B3" s="2" t="s">
        <v>271</v>
      </c>
    </row>
    <row r="5" customFormat="false" ht="18" hidden="false" customHeight="true" outlineLevel="0" collapsed="false">
      <c r="B5" s="4" t="s">
        <v>272</v>
      </c>
      <c r="D5" s="30" t="s">
        <v>273</v>
      </c>
      <c r="E5" s="30" t="s">
        <v>274</v>
      </c>
      <c r="F5" s="30" t="s">
        <v>275</v>
      </c>
      <c r="G5" s="30" t="s">
        <v>276</v>
      </c>
      <c r="H5" s="30" t="s">
        <v>277</v>
      </c>
      <c r="I5" s="30" t="s">
        <v>278</v>
      </c>
      <c r="J5" s="30" t="s">
        <v>279</v>
      </c>
      <c r="K5" s="30" t="s">
        <v>280</v>
      </c>
      <c r="L5" s="30" t="s">
        <v>281</v>
      </c>
      <c r="M5" s="30" t="s">
        <v>282</v>
      </c>
      <c r="N5" s="30" t="s">
        <v>283</v>
      </c>
      <c r="O5" s="30" t="s">
        <v>284</v>
      </c>
      <c r="P5" s="30" t="s">
        <v>285</v>
      </c>
      <c r="Q5" s="30" t="s">
        <v>286</v>
      </c>
      <c r="R5" s="30" t="s">
        <v>287</v>
      </c>
      <c r="S5" s="30" t="s">
        <v>288</v>
      </c>
      <c r="T5" s="30" t="s">
        <v>289</v>
      </c>
      <c r="U5" s="30" t="s">
        <v>290</v>
      </c>
      <c r="V5" s="30" t="s">
        <v>291</v>
      </c>
      <c r="W5" s="30" t="s">
        <v>292</v>
      </c>
      <c r="X5" s="30" t="s">
        <v>293</v>
      </c>
      <c r="Y5" s="30" t="s">
        <v>294</v>
      </c>
      <c r="Z5" s="30" t="s">
        <v>295</v>
      </c>
      <c r="AA5" s="30" t="s">
        <v>296</v>
      </c>
      <c r="AB5" s="51" t="s">
        <v>297</v>
      </c>
      <c r="AC5" s="51" t="s">
        <v>298</v>
      </c>
      <c r="AD5" s="51" t="s">
        <v>299</v>
      </c>
    </row>
    <row r="6" customFormat="false" ht="15" hidden="false" customHeight="false" outlineLevel="0" collapsed="false">
      <c r="B6" s="25" t="s">
        <v>300</v>
      </c>
      <c r="C6" s="52" t="n">
        <v>0</v>
      </c>
      <c r="D6" s="52" t="n">
        <v>1</v>
      </c>
      <c r="E6" s="52" t="n">
        <v>2</v>
      </c>
      <c r="F6" s="52" t="n">
        <v>3</v>
      </c>
      <c r="G6" s="52" t="n">
        <v>4</v>
      </c>
      <c r="H6" s="52" t="n">
        <v>5</v>
      </c>
      <c r="I6" s="52" t="n">
        <v>6</v>
      </c>
      <c r="J6" s="52" t="n">
        <v>7</v>
      </c>
      <c r="K6" s="52" t="n">
        <v>8</v>
      </c>
      <c r="L6" s="52" t="n">
        <v>9</v>
      </c>
      <c r="M6" s="52" t="n">
        <v>10</v>
      </c>
      <c r="N6" s="52" t="n">
        <v>11</v>
      </c>
      <c r="O6" s="52" t="n">
        <v>12</v>
      </c>
      <c r="P6" s="52" t="n">
        <v>13</v>
      </c>
      <c r="Q6" s="52" t="n">
        <v>14</v>
      </c>
      <c r="R6" s="52" t="n">
        <v>15</v>
      </c>
      <c r="S6" s="52" t="n">
        <v>16</v>
      </c>
      <c r="T6" s="52" t="n">
        <v>17</v>
      </c>
      <c r="U6" s="52" t="n">
        <v>18</v>
      </c>
      <c r="V6" s="52" t="n">
        <v>19</v>
      </c>
      <c r="W6" s="52" t="n">
        <v>20</v>
      </c>
      <c r="X6" s="52" t="n">
        <v>21</v>
      </c>
      <c r="Y6" s="52" t="n">
        <v>22</v>
      </c>
      <c r="Z6" s="52" t="n">
        <v>23</v>
      </c>
      <c r="AA6" s="52" t="n">
        <v>24</v>
      </c>
    </row>
    <row r="7" customFormat="false" ht="15" hidden="false" customHeight="false" outlineLevel="0" collapsed="false">
      <c r="B7" s="6" t="s">
        <v>301</v>
      </c>
      <c r="D7" s="35" t="n">
        <v>0</v>
      </c>
      <c r="E7" s="35" t="n">
        <v>0</v>
      </c>
      <c r="F7" s="35" t="n">
        <v>0</v>
      </c>
      <c r="G7" s="35" t="n">
        <v>0</v>
      </c>
      <c r="H7" s="35" t="n">
        <v>100</v>
      </c>
      <c r="I7" s="35" t="n">
        <v>50</v>
      </c>
      <c r="J7" s="35" t="n">
        <v>50</v>
      </c>
      <c r="K7" s="35" t="n">
        <v>100</v>
      </c>
      <c r="L7" s="35" t="n">
        <v>50</v>
      </c>
      <c r="M7" s="35" t="n">
        <v>100</v>
      </c>
      <c r="N7" s="35" t="n">
        <v>100</v>
      </c>
      <c r="O7" s="35" t="n">
        <v>100</v>
      </c>
      <c r="P7" s="35" t="n">
        <v>100</v>
      </c>
      <c r="Q7" s="35" t="n">
        <v>100</v>
      </c>
      <c r="R7" s="35" t="n">
        <v>100</v>
      </c>
      <c r="S7" s="35" t="n">
        <v>100</v>
      </c>
      <c r="T7" s="35" t="n">
        <v>100</v>
      </c>
      <c r="U7" s="35" t="n">
        <v>100</v>
      </c>
      <c r="V7" s="35" t="n">
        <v>100</v>
      </c>
      <c r="W7" s="35" t="n">
        <v>100</v>
      </c>
      <c r="X7" s="35" t="n">
        <v>100</v>
      </c>
      <c r="Y7" s="35" t="n">
        <v>100</v>
      </c>
      <c r="Z7" s="35" t="n">
        <v>100</v>
      </c>
      <c r="AA7" s="35" t="n">
        <v>100</v>
      </c>
      <c r="AB7" s="53" t="n">
        <f aca="false">SUM(D7:O7)</f>
        <v>650</v>
      </c>
      <c r="AC7" s="53" t="n">
        <f aca="false">SUM(P7:AA7)</f>
        <v>1200</v>
      </c>
      <c r="AD7" s="53" t="n">
        <f aca="false">SUM(D7:AA7)</f>
        <v>1850</v>
      </c>
    </row>
    <row r="8" customFormat="false" ht="15" hidden="false" customHeight="false" outlineLevel="0" collapsed="false">
      <c r="B8" s="6" t="s">
        <v>302</v>
      </c>
      <c r="D8" s="54" t="n">
        <f aca="false">D7*Premissas!$C$9</f>
        <v>0</v>
      </c>
      <c r="E8" s="54" t="n">
        <f aca="false">E7*Premissas!$C$9</f>
        <v>0</v>
      </c>
      <c r="F8" s="54" t="n">
        <f aca="false">F7*Premissas!$C$9</f>
        <v>0</v>
      </c>
      <c r="G8" s="54" t="n">
        <f aca="false">G7*Premissas!$C$9</f>
        <v>0</v>
      </c>
      <c r="H8" s="54" t="n">
        <f aca="false">H7*Premissas!$C$9</f>
        <v>100</v>
      </c>
      <c r="I8" s="54" t="n">
        <f aca="false">I7*Premissas!$C$9</f>
        <v>50</v>
      </c>
      <c r="J8" s="54" t="n">
        <f aca="false">J7*Premissas!$C$9</f>
        <v>50</v>
      </c>
      <c r="K8" s="54" t="n">
        <f aca="false">K7*Premissas!$C$9</f>
        <v>100</v>
      </c>
      <c r="L8" s="54" t="n">
        <f aca="false">L7*Premissas!$C$9</f>
        <v>50</v>
      </c>
      <c r="M8" s="54" t="n">
        <f aca="false">M7*Premissas!$C$9</f>
        <v>100</v>
      </c>
      <c r="N8" s="54" t="n">
        <f aca="false">N7*Premissas!$C$9</f>
        <v>100</v>
      </c>
      <c r="O8" s="54" t="n">
        <f aca="false">O7*Premissas!$C$9</f>
        <v>100</v>
      </c>
      <c r="P8" s="54" t="n">
        <f aca="false">P7*Premissas!$C$9</f>
        <v>100</v>
      </c>
      <c r="Q8" s="54" t="n">
        <f aca="false">Q7*Premissas!$C$9</f>
        <v>100</v>
      </c>
      <c r="R8" s="54" t="n">
        <f aca="false">R7*Premissas!$C$9</f>
        <v>100</v>
      </c>
      <c r="S8" s="54" t="n">
        <f aca="false">S7*Premissas!$C$9</f>
        <v>100</v>
      </c>
      <c r="T8" s="54" t="n">
        <f aca="false">T7*Premissas!$C$9</f>
        <v>100</v>
      </c>
      <c r="U8" s="54" t="n">
        <f aca="false">U7*Premissas!$C$9</f>
        <v>100</v>
      </c>
      <c r="V8" s="54" t="n">
        <f aca="false">V7*Premissas!$C$9</f>
        <v>100</v>
      </c>
      <c r="W8" s="54" t="n">
        <f aca="false">W7*Premissas!$C$9</f>
        <v>100</v>
      </c>
      <c r="X8" s="54" t="n">
        <f aca="false">X7*Premissas!$C$9</f>
        <v>100</v>
      </c>
      <c r="Y8" s="54" t="n">
        <f aca="false">Y7*Premissas!$C$9</f>
        <v>100</v>
      </c>
      <c r="Z8" s="54" t="n">
        <f aca="false">Z7*Premissas!$C$9</f>
        <v>100</v>
      </c>
      <c r="AA8" s="54" t="n">
        <f aca="false">AA7*Premissas!$C$9</f>
        <v>100</v>
      </c>
      <c r="AB8" s="55" t="n">
        <f aca="false">SUM(D8:O8)</f>
        <v>650</v>
      </c>
      <c r="AC8" s="55" t="n">
        <f aca="false">SUM(P8:AA8)</f>
        <v>1200</v>
      </c>
      <c r="AD8" s="55" t="n">
        <f aca="false">SUM(D8:AA8)</f>
        <v>1850</v>
      </c>
    </row>
    <row r="9" customFormat="false" ht="15" hidden="false" customHeight="false" outlineLevel="0" collapsed="false">
      <c r="B9" s="6" t="s">
        <v>303</v>
      </c>
      <c r="D9" s="54" t="n">
        <f aca="false">D8*Premissas!$C$22</f>
        <v>0</v>
      </c>
      <c r="E9" s="54" t="n">
        <f aca="false">E8*Premissas!$C$22</f>
        <v>0</v>
      </c>
      <c r="F9" s="54" t="n">
        <f aca="false">F8*Premissas!$C$22</f>
        <v>0</v>
      </c>
      <c r="G9" s="54" t="n">
        <f aca="false">G8*Premissas!$C$22</f>
        <v>0</v>
      </c>
      <c r="H9" s="54" t="n">
        <f aca="false">H8*Premissas!$C$22</f>
        <v>20</v>
      </c>
      <c r="I9" s="54" t="n">
        <f aca="false">I8*Premissas!$C$22</f>
        <v>10</v>
      </c>
      <c r="J9" s="54" t="n">
        <f aca="false">J8*Premissas!$C$22</f>
        <v>10</v>
      </c>
      <c r="K9" s="54" t="n">
        <f aca="false">K8*Premissas!$C$22</f>
        <v>20</v>
      </c>
      <c r="L9" s="54" t="n">
        <f aca="false">L8*Premissas!$C$22</f>
        <v>10</v>
      </c>
      <c r="M9" s="54" t="n">
        <f aca="false">M8*Premissas!$C$22</f>
        <v>20</v>
      </c>
      <c r="N9" s="54" t="n">
        <f aca="false">N8*Premissas!$C$22</f>
        <v>20</v>
      </c>
      <c r="O9" s="54" t="n">
        <f aca="false">O8*Premissas!$C$22</f>
        <v>20</v>
      </c>
      <c r="P9" s="54" t="n">
        <f aca="false">P8*Premissas!$C$22</f>
        <v>20</v>
      </c>
      <c r="Q9" s="54" t="n">
        <f aca="false">Q8*Premissas!$C$22</f>
        <v>20</v>
      </c>
      <c r="R9" s="54" t="n">
        <f aca="false">R8*Premissas!$C$22</f>
        <v>20</v>
      </c>
      <c r="S9" s="54" t="n">
        <f aca="false">S8*Premissas!$C$22</f>
        <v>20</v>
      </c>
      <c r="T9" s="54" t="n">
        <f aca="false">T8*Premissas!$C$22</f>
        <v>20</v>
      </c>
      <c r="U9" s="54" t="n">
        <f aca="false">U8*Premissas!$C$22</f>
        <v>20</v>
      </c>
      <c r="V9" s="54" t="n">
        <f aca="false">V8*Premissas!$C$22</f>
        <v>20</v>
      </c>
      <c r="W9" s="54" t="n">
        <f aca="false">W8*Premissas!$C$22</f>
        <v>20</v>
      </c>
      <c r="X9" s="54" t="n">
        <f aca="false">X8*Premissas!$C$22</f>
        <v>20</v>
      </c>
      <c r="Y9" s="54" t="n">
        <f aca="false">Y8*Premissas!$C$22</f>
        <v>20</v>
      </c>
      <c r="Z9" s="54" t="n">
        <f aca="false">Z8*Premissas!$C$22</f>
        <v>20</v>
      </c>
      <c r="AA9" s="54" t="n">
        <f aca="false">AA8*Premissas!$C$22</f>
        <v>20</v>
      </c>
      <c r="AB9" s="55" t="n">
        <f aca="false">SUM(D9:O9)</f>
        <v>130</v>
      </c>
      <c r="AC9" s="55" t="n">
        <f aca="false">SUM(P9:AA9)</f>
        <v>240</v>
      </c>
      <c r="AD9" s="55" t="n">
        <f aca="false">SUM(D9:AA9)</f>
        <v>370</v>
      </c>
    </row>
    <row r="10" customFormat="false" ht="15" hidden="false" customHeight="false" outlineLevel="0" collapsed="false">
      <c r="B10" s="6" t="s">
        <v>304</v>
      </c>
      <c r="D10" s="54" t="n">
        <f aca="false">D9*Premissas!$C$23</f>
        <v>0</v>
      </c>
      <c r="E10" s="54" t="n">
        <f aca="false">E9*Premissas!$C$23</f>
        <v>0</v>
      </c>
      <c r="F10" s="54" t="n">
        <f aca="false">F9*Premissas!$C$23</f>
        <v>0</v>
      </c>
      <c r="G10" s="54" t="n">
        <f aca="false">G9*Premissas!$C$23</f>
        <v>0</v>
      </c>
      <c r="H10" s="54" t="n">
        <f aca="false">H9*Premissas!$C$23</f>
        <v>8</v>
      </c>
      <c r="I10" s="54" t="n">
        <f aca="false">I9*Premissas!$C$23</f>
        <v>4</v>
      </c>
      <c r="J10" s="54" t="n">
        <f aca="false">J9*Premissas!$C$23</f>
        <v>4</v>
      </c>
      <c r="K10" s="54" t="n">
        <f aca="false">K9*Premissas!$C$23</f>
        <v>8</v>
      </c>
      <c r="L10" s="54" t="n">
        <f aca="false">L9*Premissas!$C$23</f>
        <v>4</v>
      </c>
      <c r="M10" s="54" t="n">
        <f aca="false">M9*Premissas!$C$23</f>
        <v>8</v>
      </c>
      <c r="N10" s="54" t="n">
        <f aca="false">N9*Premissas!$C$23</f>
        <v>8</v>
      </c>
      <c r="O10" s="54" t="n">
        <f aca="false">O9*Premissas!$C$23</f>
        <v>8</v>
      </c>
      <c r="P10" s="54" t="n">
        <f aca="false">P9*Premissas!$C$23</f>
        <v>8</v>
      </c>
      <c r="Q10" s="54" t="n">
        <f aca="false">Q9*Premissas!$C$23</f>
        <v>8</v>
      </c>
      <c r="R10" s="54" t="n">
        <f aca="false">R9*Premissas!$C$23</f>
        <v>8</v>
      </c>
      <c r="S10" s="54" t="n">
        <f aca="false">S9*Premissas!$C$23</f>
        <v>8</v>
      </c>
      <c r="T10" s="54" t="n">
        <f aca="false">T9*Premissas!$C$23</f>
        <v>8</v>
      </c>
      <c r="U10" s="54" t="n">
        <f aca="false">U9*Premissas!$C$23</f>
        <v>8</v>
      </c>
      <c r="V10" s="54" t="n">
        <f aca="false">V9*Premissas!$C$23</f>
        <v>8</v>
      </c>
      <c r="W10" s="54" t="n">
        <f aca="false">W9*Premissas!$C$23</f>
        <v>8</v>
      </c>
      <c r="X10" s="54" t="n">
        <f aca="false">X9*Premissas!$C$23</f>
        <v>8</v>
      </c>
      <c r="Y10" s="54" t="n">
        <f aca="false">Y9*Premissas!$C$23</f>
        <v>8</v>
      </c>
      <c r="Z10" s="54" t="n">
        <f aca="false">Z9*Premissas!$C$23</f>
        <v>8</v>
      </c>
      <c r="AA10" s="54" t="n">
        <f aca="false">AA9*Premissas!$C$23</f>
        <v>8</v>
      </c>
      <c r="AB10" s="55" t="n">
        <f aca="false">SUM(D10:O10)</f>
        <v>52</v>
      </c>
      <c r="AC10" s="55" t="n">
        <f aca="false">SUM(P10:AA10)</f>
        <v>96</v>
      </c>
      <c r="AD10" s="55" t="n">
        <f aca="false">SUM(D10:AA10)</f>
        <v>148</v>
      </c>
    </row>
    <row r="11" customFormat="false" ht="15" hidden="false" customHeight="false" outlineLevel="0" collapsed="false">
      <c r="B11" s="6" t="s">
        <v>305</v>
      </c>
      <c r="D11" s="54" t="n">
        <f aca="false">D10*Premissas!$C$24</f>
        <v>0</v>
      </c>
      <c r="E11" s="54" t="n">
        <f aca="false">E10*Premissas!$C$24</f>
        <v>0</v>
      </c>
      <c r="F11" s="54" t="n">
        <f aca="false">F10*Premissas!$C$24</f>
        <v>0</v>
      </c>
      <c r="G11" s="54" t="n">
        <f aca="false">G10*Premissas!$C$24</f>
        <v>0</v>
      </c>
      <c r="H11" s="54" t="n">
        <f aca="false">H10*Premissas!$C$24</f>
        <v>4</v>
      </c>
      <c r="I11" s="54" t="n">
        <f aca="false">I10*Premissas!$C$24</f>
        <v>2</v>
      </c>
      <c r="J11" s="54" t="n">
        <f aca="false">J10*Premissas!$C$24</f>
        <v>2</v>
      </c>
      <c r="K11" s="54" t="n">
        <f aca="false">K10*Premissas!$C$24</f>
        <v>4</v>
      </c>
      <c r="L11" s="54" t="n">
        <f aca="false">L10*Premissas!$C$24</f>
        <v>2</v>
      </c>
      <c r="M11" s="54" t="n">
        <f aca="false">M10*Premissas!$C$24</f>
        <v>4</v>
      </c>
      <c r="N11" s="54" t="n">
        <f aca="false">N10*Premissas!$C$24</f>
        <v>4</v>
      </c>
      <c r="O11" s="54" t="n">
        <f aca="false">O10*Premissas!$C$24</f>
        <v>4</v>
      </c>
      <c r="P11" s="54" t="n">
        <f aca="false">P10*Premissas!$C$24</f>
        <v>4</v>
      </c>
      <c r="Q11" s="54" t="n">
        <f aca="false">Q10*Premissas!$C$24</f>
        <v>4</v>
      </c>
      <c r="R11" s="54" t="n">
        <f aca="false">R10*Premissas!$C$24</f>
        <v>4</v>
      </c>
      <c r="S11" s="54" t="n">
        <f aca="false">S10*Premissas!$C$24</f>
        <v>4</v>
      </c>
      <c r="T11" s="54" t="n">
        <f aca="false">T10*Premissas!$C$24</f>
        <v>4</v>
      </c>
      <c r="U11" s="54" t="n">
        <f aca="false">U10*Premissas!$C$24</f>
        <v>4</v>
      </c>
      <c r="V11" s="54" t="n">
        <f aca="false">V10*Premissas!$C$24</f>
        <v>4</v>
      </c>
      <c r="W11" s="54" t="n">
        <f aca="false">W10*Premissas!$C$24</f>
        <v>4</v>
      </c>
      <c r="X11" s="54" t="n">
        <f aca="false">X10*Premissas!$C$24</f>
        <v>4</v>
      </c>
      <c r="Y11" s="54" t="n">
        <f aca="false">Y10*Premissas!$C$24</f>
        <v>4</v>
      </c>
      <c r="Z11" s="54" t="n">
        <f aca="false">Z10*Premissas!$C$24</f>
        <v>4</v>
      </c>
      <c r="AA11" s="54" t="n">
        <f aca="false">AA10*Premissas!$C$24</f>
        <v>4</v>
      </c>
      <c r="AB11" s="55" t="n">
        <f aca="false">SUM(D11:O11)</f>
        <v>26</v>
      </c>
      <c r="AC11" s="55" t="n">
        <f aca="false">SUM(P11:AA11)</f>
        <v>48</v>
      </c>
      <c r="AD11" s="55" t="n">
        <f aca="false">SUM(D11:AA11)</f>
        <v>74</v>
      </c>
    </row>
    <row r="12" customFormat="false" ht="15" hidden="false" customHeight="false" outlineLevel="0" collapsed="false">
      <c r="B12" s="56" t="s">
        <v>306</v>
      </c>
      <c r="C12" s="57"/>
      <c r="D12" s="58" t="n">
        <f aca="false">D11*Premissas!$C$25</f>
        <v>0</v>
      </c>
      <c r="E12" s="58" t="n">
        <f aca="false">E11*Premissas!$C$25</f>
        <v>0</v>
      </c>
      <c r="F12" s="58" t="n">
        <f aca="false">F11*Premissas!$C$25</f>
        <v>0</v>
      </c>
      <c r="G12" s="58" t="n">
        <f aca="false">G11*Premissas!$C$25</f>
        <v>0</v>
      </c>
      <c r="H12" s="58" t="n">
        <f aca="false">H11*Premissas!$C$25</f>
        <v>2</v>
      </c>
      <c r="I12" s="58" t="n">
        <f aca="false">I11*Premissas!$C$25</f>
        <v>1</v>
      </c>
      <c r="J12" s="58" t="n">
        <f aca="false">J11*Premissas!$C$25</f>
        <v>1</v>
      </c>
      <c r="K12" s="58" t="n">
        <f aca="false">K11*Premissas!$C$25</f>
        <v>2</v>
      </c>
      <c r="L12" s="58" t="n">
        <f aca="false">L11*Premissas!$C$25</f>
        <v>1</v>
      </c>
      <c r="M12" s="58" t="n">
        <f aca="false">M11*Premissas!$C$25</f>
        <v>2</v>
      </c>
      <c r="N12" s="58" t="n">
        <f aca="false">N11*Premissas!$C$25</f>
        <v>2</v>
      </c>
      <c r="O12" s="58" t="n">
        <f aca="false">O11*Premissas!$C$25</f>
        <v>2</v>
      </c>
      <c r="P12" s="58" t="n">
        <f aca="false">P11*Premissas!$C$25</f>
        <v>2</v>
      </c>
      <c r="Q12" s="58" t="n">
        <f aca="false">Q11*Premissas!$C$25</f>
        <v>2</v>
      </c>
      <c r="R12" s="58" t="n">
        <f aca="false">R11*Premissas!$C$25</f>
        <v>2</v>
      </c>
      <c r="S12" s="58" t="n">
        <f aca="false">S11*Premissas!$C$25</f>
        <v>2</v>
      </c>
      <c r="T12" s="58" t="n">
        <f aca="false">T11*Premissas!$C$25</f>
        <v>2</v>
      </c>
      <c r="U12" s="58" t="n">
        <f aca="false">U11*Premissas!$C$25</f>
        <v>2</v>
      </c>
      <c r="V12" s="58" t="n">
        <f aca="false">V11*Premissas!$C$25</f>
        <v>2</v>
      </c>
      <c r="W12" s="58" t="n">
        <f aca="false">W11*Premissas!$C$25</f>
        <v>2</v>
      </c>
      <c r="X12" s="58" t="n">
        <f aca="false">X11*Premissas!$C$25</f>
        <v>2</v>
      </c>
      <c r="Y12" s="58" t="n">
        <f aca="false">Y11*Premissas!$C$25</f>
        <v>2</v>
      </c>
      <c r="Z12" s="58" t="n">
        <f aca="false">Z11*Premissas!$C$25</f>
        <v>2</v>
      </c>
      <c r="AA12" s="58" t="n">
        <f aca="false">AA11*Premissas!$C$25</f>
        <v>2</v>
      </c>
      <c r="AB12" s="58" t="n">
        <f aca="false">SUM(D12:O12)</f>
        <v>13</v>
      </c>
      <c r="AC12" s="58" t="n">
        <f aca="false">SUM(P12:AA12)</f>
        <v>24</v>
      </c>
      <c r="AD12" s="58" t="n">
        <f aca="false">SUM(D12:AA12)</f>
        <v>37</v>
      </c>
    </row>
    <row r="14" customFormat="false" ht="15" hidden="false" customHeight="false" outlineLevel="0" collapsed="false">
      <c r="B14" s="8" t="s">
        <v>307</v>
      </c>
    </row>
    <row r="15" customFormat="false" ht="15" hidden="false" customHeight="false" outlineLevel="0" collapsed="false">
      <c r="B15" s="4" t="s">
        <v>272</v>
      </c>
      <c r="C15" s="4" t="s">
        <v>308</v>
      </c>
      <c r="D15" s="4" t="s">
        <v>309</v>
      </c>
    </row>
    <row r="16" customFormat="false" ht="15" hidden="false" customHeight="false" outlineLevel="0" collapsed="false">
      <c r="B16" s="6" t="s">
        <v>310</v>
      </c>
      <c r="C16" s="35" t="n">
        <v>100</v>
      </c>
    </row>
    <row r="17" customFormat="false" ht="15" hidden="false" customHeight="false" outlineLevel="0" collapsed="false">
      <c r="B17" s="6" t="s">
        <v>311</v>
      </c>
      <c r="C17" s="54" t="n">
        <f aca="false">C16*Premissas!$C$22</f>
        <v>20</v>
      </c>
      <c r="D17" s="59" t="n">
        <f aca="false">Premissas!$C$22</f>
        <v>0.2</v>
      </c>
    </row>
    <row r="18" customFormat="false" ht="15" hidden="false" customHeight="false" outlineLevel="0" collapsed="false">
      <c r="B18" s="6" t="s">
        <v>304</v>
      </c>
      <c r="C18" s="54" t="n">
        <f aca="false">C17*Premissas!$C$23</f>
        <v>8</v>
      </c>
      <c r="D18" s="59" t="n">
        <f aca="false">Premissas!$C$23</f>
        <v>0.4</v>
      </c>
    </row>
    <row r="19" customFormat="false" ht="15" hidden="false" customHeight="false" outlineLevel="0" collapsed="false">
      <c r="B19" s="6" t="s">
        <v>312</v>
      </c>
      <c r="C19" s="54" t="n">
        <f aca="false">C18*Premissas!$C$24</f>
        <v>4</v>
      </c>
      <c r="D19" s="59" t="n">
        <f aca="false">Premissas!$C$24</f>
        <v>0.5</v>
      </c>
    </row>
    <row r="20" customFormat="false" ht="15" hidden="false" customHeight="false" outlineLevel="0" collapsed="false">
      <c r="B20" s="6" t="s">
        <v>313</v>
      </c>
      <c r="C20" s="54" t="n">
        <f aca="false">C19*Premissas!$C$25</f>
        <v>2</v>
      </c>
      <c r="D20" s="59" t="n">
        <f aca="false">Premissas!$C$25</f>
        <v>0.5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B6E0"/>
    <pageSetUpPr fitToPage="true"/>
  </sheetPr>
  <dimension ref="B2:AD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4"/>
    <col collapsed="false" customWidth="true" hidden="false" outlineLevel="0" max="27" min="3" style="0" width="11.5"/>
    <col collapsed="false" customWidth="true" hidden="false" outlineLevel="0" max="30" min="28" style="0" width="13.5"/>
  </cols>
  <sheetData>
    <row r="2" customFormat="false" ht="21.75" hidden="false" customHeight="true" outlineLevel="0" collapsed="false">
      <c r="B2" s="1" t="s">
        <v>314</v>
      </c>
    </row>
    <row r="3" customFormat="false" ht="15" hidden="false" customHeight="false" outlineLevel="0" collapsed="false">
      <c r="B3" s="2" t="s">
        <v>315</v>
      </c>
    </row>
    <row r="5" customFormat="false" ht="18" hidden="false" customHeight="true" outlineLevel="0" collapsed="false">
      <c r="B5" s="4" t="s">
        <v>316</v>
      </c>
      <c r="D5" s="30" t="s">
        <v>273</v>
      </c>
      <c r="E5" s="30" t="s">
        <v>274</v>
      </c>
      <c r="F5" s="30" t="s">
        <v>275</v>
      </c>
      <c r="G5" s="30" t="s">
        <v>276</v>
      </c>
      <c r="H5" s="30" t="s">
        <v>277</v>
      </c>
      <c r="I5" s="30" t="s">
        <v>278</v>
      </c>
      <c r="J5" s="30" t="s">
        <v>279</v>
      </c>
      <c r="K5" s="30" t="s">
        <v>280</v>
      </c>
      <c r="L5" s="30" t="s">
        <v>281</v>
      </c>
      <c r="M5" s="30" t="s">
        <v>282</v>
      </c>
      <c r="N5" s="30" t="s">
        <v>283</v>
      </c>
      <c r="O5" s="30" t="s">
        <v>284</v>
      </c>
      <c r="P5" s="30" t="s">
        <v>285</v>
      </c>
      <c r="Q5" s="30" t="s">
        <v>286</v>
      </c>
      <c r="R5" s="30" t="s">
        <v>287</v>
      </c>
      <c r="S5" s="30" t="s">
        <v>288</v>
      </c>
      <c r="T5" s="30" t="s">
        <v>289</v>
      </c>
      <c r="U5" s="30" t="s">
        <v>290</v>
      </c>
      <c r="V5" s="30" t="s">
        <v>291</v>
      </c>
      <c r="W5" s="30" t="s">
        <v>292</v>
      </c>
      <c r="X5" s="30" t="s">
        <v>293</v>
      </c>
      <c r="Y5" s="30" t="s">
        <v>294</v>
      </c>
      <c r="Z5" s="30" t="s">
        <v>295</v>
      </c>
      <c r="AA5" s="30" t="s">
        <v>296</v>
      </c>
      <c r="AB5" s="51" t="s">
        <v>297</v>
      </c>
      <c r="AC5" s="51" t="s">
        <v>298</v>
      </c>
      <c r="AD5" s="51" t="s">
        <v>299</v>
      </c>
    </row>
    <row r="6" customFormat="false" ht="15" hidden="false" customHeight="false" outlineLevel="0" collapsed="false">
      <c r="B6" s="25" t="s">
        <v>300</v>
      </c>
      <c r="C6" s="52" t="n">
        <v>0</v>
      </c>
      <c r="D6" s="52" t="n">
        <v>1</v>
      </c>
      <c r="E6" s="52" t="n">
        <v>2</v>
      </c>
      <c r="F6" s="52" t="n">
        <v>3</v>
      </c>
      <c r="G6" s="52" t="n">
        <v>4</v>
      </c>
      <c r="H6" s="52" t="n">
        <v>5</v>
      </c>
      <c r="I6" s="52" t="n">
        <v>6</v>
      </c>
      <c r="J6" s="52" t="n">
        <v>7</v>
      </c>
      <c r="K6" s="52" t="n">
        <v>8</v>
      </c>
      <c r="L6" s="52" t="n">
        <v>9</v>
      </c>
      <c r="M6" s="52" t="n">
        <v>10</v>
      </c>
      <c r="N6" s="52" t="n">
        <v>11</v>
      </c>
      <c r="O6" s="52" t="n">
        <v>12</v>
      </c>
      <c r="P6" s="52" t="n">
        <v>13</v>
      </c>
      <c r="Q6" s="52" t="n">
        <v>14</v>
      </c>
      <c r="R6" s="52" t="n">
        <v>15</v>
      </c>
      <c r="S6" s="52" t="n">
        <v>16</v>
      </c>
      <c r="T6" s="52" t="n">
        <v>17</v>
      </c>
      <c r="U6" s="52" t="n">
        <v>18</v>
      </c>
      <c r="V6" s="52" t="n">
        <v>19</v>
      </c>
      <c r="W6" s="52" t="n">
        <v>20</v>
      </c>
      <c r="X6" s="52" t="n">
        <v>21</v>
      </c>
      <c r="Y6" s="52" t="n">
        <v>22</v>
      </c>
      <c r="Z6" s="52" t="n">
        <v>23</v>
      </c>
      <c r="AA6" s="52" t="n">
        <v>24</v>
      </c>
    </row>
    <row r="7" customFormat="false" ht="15" hidden="false" customHeight="false" outlineLevel="0" collapsed="false">
      <c r="B7" s="6" t="s">
        <v>317</v>
      </c>
      <c r="D7" s="60" t="n">
        <f aca="false">IF(D6&lt;Premissas!$C$29,Premissas!$C$28,0)</f>
        <v>3</v>
      </c>
      <c r="E7" s="60" t="n">
        <f aca="false">IF(E6&lt;Premissas!$C$29,Premissas!$C$28,0)</f>
        <v>3</v>
      </c>
      <c r="F7" s="60" t="n">
        <f aca="false">IF(F6&lt;Premissas!$C$29,Premissas!$C$28,0)</f>
        <v>3</v>
      </c>
      <c r="G7" s="60" t="n">
        <f aca="false">IF(G6&lt;Premissas!$C$29,Premissas!$C$28,0)</f>
        <v>0</v>
      </c>
      <c r="H7" s="60" t="n">
        <f aca="false">IF(H6&lt;Premissas!$C$29,Premissas!$C$28,0)</f>
        <v>0</v>
      </c>
      <c r="I7" s="60" t="n">
        <f aca="false">IF(I6&lt;Premissas!$C$29,Premissas!$C$28,0)</f>
        <v>0</v>
      </c>
      <c r="J7" s="60" t="n">
        <f aca="false">IF(J6&lt;Premissas!$C$29,Premissas!$C$28,0)</f>
        <v>0</v>
      </c>
      <c r="K7" s="60" t="n">
        <f aca="false">IF(K6&lt;Premissas!$C$29,Premissas!$C$28,0)</f>
        <v>0</v>
      </c>
      <c r="L7" s="60" t="n">
        <f aca="false">IF(L6&lt;Premissas!$C$29,Premissas!$C$28,0)</f>
        <v>0</v>
      </c>
      <c r="M7" s="60" t="n">
        <f aca="false">IF(M6&lt;Premissas!$C$29,Premissas!$C$28,0)</f>
        <v>0</v>
      </c>
      <c r="N7" s="60" t="n">
        <f aca="false">IF(N6&lt;Premissas!$C$29,Premissas!$C$28,0)</f>
        <v>0</v>
      </c>
      <c r="O7" s="60" t="n">
        <f aca="false">IF(O6&lt;Premissas!$C$29,Premissas!$C$28,0)</f>
        <v>0</v>
      </c>
      <c r="P7" s="60" t="n">
        <f aca="false">IF(P6&lt;Premissas!$C$29,Premissas!$C$28,0)</f>
        <v>0</v>
      </c>
      <c r="Q7" s="60" t="n">
        <f aca="false">IF(Q6&lt;Premissas!$C$29,Premissas!$C$28,0)</f>
        <v>0</v>
      </c>
      <c r="R7" s="60" t="n">
        <f aca="false">IF(R6&lt;Premissas!$C$29,Premissas!$C$28,0)</f>
        <v>0</v>
      </c>
      <c r="S7" s="60" t="n">
        <f aca="false">IF(S6&lt;Premissas!$C$29,Premissas!$C$28,0)</f>
        <v>0</v>
      </c>
      <c r="T7" s="60" t="n">
        <f aca="false">IF(T6&lt;Premissas!$C$29,Premissas!$C$28,0)</f>
        <v>0</v>
      </c>
      <c r="U7" s="60" t="n">
        <f aca="false">IF(U6&lt;Premissas!$C$29,Premissas!$C$28,0)</f>
        <v>0</v>
      </c>
      <c r="V7" s="60" t="n">
        <f aca="false">IF(V6&lt;Premissas!$C$29,Premissas!$C$28,0)</f>
        <v>0</v>
      </c>
      <c r="W7" s="60" t="n">
        <f aca="false">IF(W6&lt;Premissas!$C$29,Premissas!$C$28,0)</f>
        <v>0</v>
      </c>
      <c r="X7" s="60" t="n">
        <f aca="false">IF(X6&lt;Premissas!$C$29,Premissas!$C$28,0)</f>
        <v>0</v>
      </c>
      <c r="Y7" s="60" t="n">
        <f aca="false">IF(Y6&lt;Premissas!$C$29,Premissas!$C$28,0)</f>
        <v>0</v>
      </c>
      <c r="Z7" s="60" t="n">
        <f aca="false">IF(Z6&lt;Premissas!$C$29,Premissas!$C$28,0)</f>
        <v>0</v>
      </c>
      <c r="AA7" s="60" t="n">
        <f aca="false">IF(AA6&lt;Premissas!$C$29,Premissas!$C$28,0)</f>
        <v>0</v>
      </c>
      <c r="AB7" s="53" t="n">
        <f aca="false">O7</f>
        <v>0</v>
      </c>
      <c r="AC7" s="53" t="n">
        <f aca="false">AA7</f>
        <v>0</v>
      </c>
      <c r="AD7" s="53" t="n">
        <f aca="false">AA7</f>
        <v>0</v>
      </c>
    </row>
    <row r="8" customFormat="false" ht="15" hidden="false" customHeight="false" outlineLevel="0" collapsed="false">
      <c r="B8" s="6" t="s">
        <v>318</v>
      </c>
      <c r="D8" s="60" t="n">
        <f aca="false">IF(D6=Premissas!$C$29,Premissas!$C$28,0)</f>
        <v>0</v>
      </c>
      <c r="E8" s="60" t="n">
        <f aca="false">IF(E6=Premissas!$C$29,Premissas!$C$28,0)</f>
        <v>0</v>
      </c>
      <c r="F8" s="60" t="n">
        <f aca="false">IF(F6=Premissas!$C$29,Premissas!$C$28,0)</f>
        <v>0</v>
      </c>
      <c r="G8" s="60" t="n">
        <f aca="false">IF(G6=Premissas!$C$29,Premissas!$C$28,0)</f>
        <v>3</v>
      </c>
      <c r="H8" s="60" t="n">
        <f aca="false">IF(H6=Premissas!$C$29,Premissas!$C$28,0)</f>
        <v>0</v>
      </c>
      <c r="I8" s="60" t="n">
        <f aca="false">IF(I6=Premissas!$C$29,Premissas!$C$28,0)</f>
        <v>0</v>
      </c>
      <c r="J8" s="60" t="n">
        <f aca="false">IF(J6=Premissas!$C$29,Premissas!$C$28,0)</f>
        <v>0</v>
      </c>
      <c r="K8" s="60" t="n">
        <f aca="false">IF(K6=Premissas!$C$29,Premissas!$C$28,0)</f>
        <v>0</v>
      </c>
      <c r="L8" s="60" t="n">
        <f aca="false">IF(L6=Premissas!$C$29,Premissas!$C$28,0)</f>
        <v>0</v>
      </c>
      <c r="M8" s="60" t="n">
        <f aca="false">IF(M6=Premissas!$C$29,Premissas!$C$28,0)</f>
        <v>0</v>
      </c>
      <c r="N8" s="60" t="n">
        <f aca="false">IF(N6=Premissas!$C$29,Premissas!$C$28,0)</f>
        <v>0</v>
      </c>
      <c r="O8" s="60" t="n">
        <f aca="false">IF(O6=Premissas!$C$29,Premissas!$C$28,0)</f>
        <v>0</v>
      </c>
      <c r="P8" s="60" t="n">
        <f aca="false">IF(P6=Premissas!$C$29,Premissas!$C$28,0)</f>
        <v>0</v>
      </c>
      <c r="Q8" s="60" t="n">
        <f aca="false">IF(Q6=Premissas!$C$29,Premissas!$C$28,0)</f>
        <v>0</v>
      </c>
      <c r="R8" s="60" t="n">
        <f aca="false">IF(R6=Premissas!$C$29,Premissas!$C$28,0)</f>
        <v>0</v>
      </c>
      <c r="S8" s="60" t="n">
        <f aca="false">IF(S6=Premissas!$C$29,Premissas!$C$28,0)</f>
        <v>0</v>
      </c>
      <c r="T8" s="60" t="n">
        <f aca="false">IF(T6=Premissas!$C$29,Premissas!$C$28,0)</f>
        <v>0</v>
      </c>
      <c r="U8" s="60" t="n">
        <f aca="false">IF(U6=Premissas!$C$29,Premissas!$C$28,0)</f>
        <v>0</v>
      </c>
      <c r="V8" s="60" t="n">
        <f aca="false">IF(V6=Premissas!$C$29,Premissas!$C$28,0)</f>
        <v>0</v>
      </c>
      <c r="W8" s="60" t="n">
        <f aca="false">IF(W6=Premissas!$C$29,Premissas!$C$28,0)</f>
        <v>0</v>
      </c>
      <c r="X8" s="60" t="n">
        <f aca="false">IF(X6=Premissas!$C$29,Premissas!$C$28,0)</f>
        <v>0</v>
      </c>
      <c r="Y8" s="60" t="n">
        <f aca="false">IF(Y6=Premissas!$C$29,Premissas!$C$28,0)</f>
        <v>0</v>
      </c>
      <c r="Z8" s="60" t="n">
        <f aca="false">IF(Z6=Premissas!$C$29,Premissas!$C$28,0)</f>
        <v>0</v>
      </c>
      <c r="AA8" s="60" t="n">
        <f aca="false">IF(AA6=Premissas!$C$29,Premissas!$C$28,0)</f>
        <v>0</v>
      </c>
      <c r="AB8" s="53" t="n">
        <f aca="false">SUM(D8:O8)</f>
        <v>3</v>
      </c>
      <c r="AC8" s="53" t="n">
        <f aca="false">SUM(P8:AA8)</f>
        <v>0</v>
      </c>
      <c r="AD8" s="53" t="n">
        <f aca="false">SUM(D8:AA8)</f>
        <v>3</v>
      </c>
    </row>
    <row r="9" customFormat="false" ht="15" hidden="false" customHeight="false" outlineLevel="0" collapsed="false">
      <c r="B9" s="6" t="s">
        <v>319</v>
      </c>
      <c r="D9" s="61" t="n">
        <f aca="false">'Funil de Vendas'!D12</f>
        <v>0</v>
      </c>
      <c r="E9" s="61" t="n">
        <f aca="false">'Funil de Vendas'!E12</f>
        <v>0</v>
      </c>
      <c r="F9" s="61" t="n">
        <f aca="false">'Funil de Vendas'!F12</f>
        <v>0</v>
      </c>
      <c r="G9" s="61" t="n">
        <f aca="false">'Funil de Vendas'!G12</f>
        <v>0</v>
      </c>
      <c r="H9" s="61" t="n">
        <f aca="false">'Funil de Vendas'!H12</f>
        <v>2</v>
      </c>
      <c r="I9" s="61" t="n">
        <f aca="false">'Funil de Vendas'!I12</f>
        <v>1</v>
      </c>
      <c r="J9" s="61" t="n">
        <f aca="false">'Funil de Vendas'!J12</f>
        <v>1</v>
      </c>
      <c r="K9" s="61" t="n">
        <f aca="false">'Funil de Vendas'!K12</f>
        <v>2</v>
      </c>
      <c r="L9" s="61" t="n">
        <f aca="false">'Funil de Vendas'!L12</f>
        <v>1</v>
      </c>
      <c r="M9" s="61" t="n">
        <f aca="false">'Funil de Vendas'!M12</f>
        <v>2</v>
      </c>
      <c r="N9" s="61" t="n">
        <f aca="false">'Funil de Vendas'!N12</f>
        <v>2</v>
      </c>
      <c r="O9" s="61" t="n">
        <f aca="false">'Funil de Vendas'!O12</f>
        <v>2</v>
      </c>
      <c r="P9" s="61" t="n">
        <f aca="false">'Funil de Vendas'!P12</f>
        <v>2</v>
      </c>
      <c r="Q9" s="61" t="n">
        <f aca="false">'Funil de Vendas'!Q12</f>
        <v>2</v>
      </c>
      <c r="R9" s="61" t="n">
        <f aca="false">'Funil de Vendas'!R12</f>
        <v>2</v>
      </c>
      <c r="S9" s="61" t="n">
        <f aca="false">'Funil de Vendas'!S12</f>
        <v>2</v>
      </c>
      <c r="T9" s="61" t="n">
        <f aca="false">'Funil de Vendas'!T12</f>
        <v>2</v>
      </c>
      <c r="U9" s="61" t="n">
        <f aca="false">'Funil de Vendas'!U12</f>
        <v>2</v>
      </c>
      <c r="V9" s="61" t="n">
        <f aca="false">'Funil de Vendas'!V12</f>
        <v>2</v>
      </c>
      <c r="W9" s="61" t="n">
        <f aca="false">'Funil de Vendas'!W12</f>
        <v>2</v>
      </c>
      <c r="X9" s="61" t="n">
        <f aca="false">'Funil de Vendas'!X12</f>
        <v>2</v>
      </c>
      <c r="Y9" s="61" t="n">
        <f aca="false">'Funil de Vendas'!Y12</f>
        <v>2</v>
      </c>
      <c r="Z9" s="61" t="n">
        <f aca="false">'Funil de Vendas'!Z12</f>
        <v>2</v>
      </c>
      <c r="AA9" s="61" t="n">
        <f aca="false">'Funil de Vendas'!AA12</f>
        <v>2</v>
      </c>
      <c r="AB9" s="55" t="n">
        <f aca="false">SUM(D9:O9)</f>
        <v>13</v>
      </c>
      <c r="AC9" s="55" t="n">
        <f aca="false">SUM(P9:AA9)</f>
        <v>24</v>
      </c>
      <c r="AD9" s="55" t="n">
        <f aca="false">SUM(D9:AA9)</f>
        <v>37</v>
      </c>
    </row>
    <row r="10" customFormat="false" ht="15" hidden="false" customHeight="false" outlineLevel="0" collapsed="false">
      <c r="B10" s="6" t="s">
        <v>320</v>
      </c>
      <c r="D10" s="54" t="n">
        <f aca="false">IF(D6&gt;=Premissas!$C$33,C11*Premissas!$C$11,0)</f>
        <v>0</v>
      </c>
      <c r="E10" s="54" t="n">
        <f aca="false">IF(E6&gt;=Premissas!$C$33,D11*Premissas!$C$11,0)</f>
        <v>0</v>
      </c>
      <c r="F10" s="54" t="n">
        <f aca="false">IF(F6&gt;=Premissas!$C$33,E11*Premissas!$C$11,0)</f>
        <v>0</v>
      </c>
      <c r="G10" s="54" t="n">
        <f aca="false">IF(G6&gt;=Premissas!$C$33,F11*Premissas!$C$11,0)</f>
        <v>0</v>
      </c>
      <c r="H10" s="54" t="n">
        <f aca="false">IF(H6&gt;=Premissas!$C$33,G11*Premissas!$C$11,0)</f>
        <v>0</v>
      </c>
      <c r="I10" s="54" t="n">
        <f aca="false">IF(I6&gt;=Premissas!$C$33,H11*Premissas!$C$11,0)</f>
        <v>0</v>
      </c>
      <c r="J10" s="54" t="n">
        <f aca="false">IF(J6&gt;=Premissas!$C$33,I11*Premissas!$C$11,0)</f>
        <v>0</v>
      </c>
      <c r="K10" s="54" t="n">
        <f aca="false">IF(K6&gt;=Premissas!$C$33,J11*Premissas!$C$11,0)</f>
        <v>0</v>
      </c>
      <c r="L10" s="54" t="n">
        <f aca="false">IF(L6&gt;=Premissas!$C$33,K11*Premissas!$C$11,0)</f>
        <v>0</v>
      </c>
      <c r="M10" s="54" t="n">
        <f aca="false">IF(M6&gt;=Premissas!$C$33,L11*Premissas!$C$11,0)</f>
        <v>0</v>
      </c>
      <c r="N10" s="54" t="n">
        <f aca="false">IF(N6&gt;=Premissas!$C$33,M11*Premissas!$C$11,0)</f>
        <v>0</v>
      </c>
      <c r="O10" s="54" t="n">
        <f aca="false">IF(O6&gt;=Premissas!$C$33,N11*Premissas!$C$11,0)</f>
        <v>0</v>
      </c>
      <c r="P10" s="54" t="n">
        <f aca="false">IF(P6&gt;=Premissas!$C$33,O11*Premissas!$C$11,0)</f>
        <v>0</v>
      </c>
      <c r="Q10" s="54" t="n">
        <f aca="false">IF(Q6&gt;=Premissas!$C$33,P11*Premissas!$C$11,0)</f>
        <v>0</v>
      </c>
      <c r="R10" s="54" t="n">
        <f aca="false">IF(R6&gt;=Premissas!$C$33,Q11*Premissas!$C$11,0)</f>
        <v>0</v>
      </c>
      <c r="S10" s="54" t="n">
        <f aca="false">IF(S6&gt;=Premissas!$C$33,R11*Premissas!$C$11,0)</f>
        <v>0</v>
      </c>
      <c r="T10" s="54" t="n">
        <f aca="false">IF(T6&gt;=Premissas!$C$33,S11*Premissas!$C$11,0)</f>
        <v>0</v>
      </c>
      <c r="U10" s="54" t="n">
        <f aca="false">IF(U6&gt;=Premissas!$C$33,T11*Premissas!$C$11,0)</f>
        <v>0</v>
      </c>
      <c r="V10" s="54" t="n">
        <f aca="false">IF(V6&gt;=Premissas!$C$33,U11*Premissas!$C$11,0)</f>
        <v>0</v>
      </c>
      <c r="W10" s="54" t="n">
        <f aca="false">IF(W6&gt;=Premissas!$C$33,V11*Premissas!$C$11,0)</f>
        <v>0</v>
      </c>
      <c r="X10" s="54" t="n">
        <f aca="false">IF(X6&gt;=Premissas!$C$33,W11*Premissas!$C$11,0)</f>
        <v>0</v>
      </c>
      <c r="Y10" s="54" t="n">
        <f aca="false">IF(Y6&gt;=Premissas!$C$33,X11*Premissas!$C$11,0)</f>
        <v>0</v>
      </c>
      <c r="Z10" s="54" t="n">
        <f aca="false">IF(Z6&gt;=Premissas!$C$33,Y11*Premissas!$C$11,0)</f>
        <v>0</v>
      </c>
      <c r="AA10" s="54" t="n">
        <f aca="false">IF(AA6&gt;=Premissas!$C$33,Z11*Premissas!$C$11,0)</f>
        <v>0</v>
      </c>
      <c r="AB10" s="55" t="n">
        <f aca="false">SUM(D10:O10)</f>
        <v>0</v>
      </c>
      <c r="AC10" s="55" t="n">
        <f aca="false">SUM(P10:AA10)</f>
        <v>0</v>
      </c>
      <c r="AD10" s="55" t="n">
        <f aca="false">SUM(D10:AA10)</f>
        <v>0</v>
      </c>
    </row>
    <row r="11" customFormat="false" ht="15" hidden="false" customHeight="false" outlineLevel="0" collapsed="false">
      <c r="B11" s="56" t="s">
        <v>321</v>
      </c>
      <c r="C11" s="57"/>
      <c r="D11" s="58" t="n">
        <f aca="false">N(C11)+D8+D9-D10</f>
        <v>0</v>
      </c>
      <c r="E11" s="58" t="n">
        <f aca="false">N(D11)+E8+E9-E10</f>
        <v>0</v>
      </c>
      <c r="F11" s="58" t="n">
        <f aca="false">N(E11)+F8+F9-F10</f>
        <v>0</v>
      </c>
      <c r="G11" s="58" t="n">
        <f aca="false">N(F11)+G8+G9-G10</f>
        <v>3</v>
      </c>
      <c r="H11" s="58" t="n">
        <f aca="false">N(G11)+H8+H9-H10</f>
        <v>5</v>
      </c>
      <c r="I11" s="58" t="n">
        <f aca="false">N(H11)+I8+I9-I10</f>
        <v>6</v>
      </c>
      <c r="J11" s="58" t="n">
        <f aca="false">N(I11)+J8+J9-J10</f>
        <v>7</v>
      </c>
      <c r="K11" s="58" t="n">
        <f aca="false">N(J11)+K8+K9-K10</f>
        <v>9</v>
      </c>
      <c r="L11" s="58" t="n">
        <f aca="false">N(K11)+L8+L9-L10</f>
        <v>10</v>
      </c>
      <c r="M11" s="58" t="n">
        <f aca="false">N(L11)+M8+M9-M10</f>
        <v>12</v>
      </c>
      <c r="N11" s="58" t="n">
        <f aca="false">N(M11)+N8+N9-N10</f>
        <v>14</v>
      </c>
      <c r="O11" s="58" t="n">
        <f aca="false">N(N11)+O8+O9-O10</f>
        <v>16</v>
      </c>
      <c r="P11" s="58" t="n">
        <f aca="false">N(O11)+P8+P9-P10</f>
        <v>18</v>
      </c>
      <c r="Q11" s="58" t="n">
        <f aca="false">N(P11)+Q8+Q9-Q10</f>
        <v>20</v>
      </c>
      <c r="R11" s="58" t="n">
        <f aca="false">N(Q11)+R8+R9-R10</f>
        <v>22</v>
      </c>
      <c r="S11" s="58" t="n">
        <f aca="false">N(R11)+S8+S9-S10</f>
        <v>24</v>
      </c>
      <c r="T11" s="58" t="n">
        <f aca="false">N(S11)+T8+T9-T10</f>
        <v>26</v>
      </c>
      <c r="U11" s="58" t="n">
        <f aca="false">N(T11)+U8+U9-U10</f>
        <v>28</v>
      </c>
      <c r="V11" s="58" t="n">
        <f aca="false">N(U11)+V8+V9-V10</f>
        <v>30</v>
      </c>
      <c r="W11" s="58" t="n">
        <f aca="false">N(V11)+W8+W9-W10</f>
        <v>32</v>
      </c>
      <c r="X11" s="58" t="n">
        <f aca="false">N(W11)+X8+X9-X10</f>
        <v>34</v>
      </c>
      <c r="Y11" s="58" t="n">
        <f aca="false">N(X11)+Y8+Y9-Y10</f>
        <v>36</v>
      </c>
      <c r="Z11" s="58" t="n">
        <f aca="false">N(Y11)+Z8+Z9-Z10</f>
        <v>38</v>
      </c>
      <c r="AA11" s="58" t="n">
        <f aca="false">N(Z11)+AA8+AA9-AA10</f>
        <v>40</v>
      </c>
      <c r="AB11" s="58" t="n">
        <f aca="false">O11</f>
        <v>16</v>
      </c>
      <c r="AC11" s="58" t="n">
        <f aca="false">AA11</f>
        <v>40</v>
      </c>
      <c r="AD11" s="58" t="n">
        <f aca="false">AA11</f>
        <v>40</v>
      </c>
    </row>
    <row r="12" customFormat="false" ht="15" hidden="false" customHeight="false" outlineLevel="0" collapsed="false">
      <c r="B12" s="6" t="s">
        <v>322</v>
      </c>
      <c r="D12" s="54" t="n">
        <f aca="false">D11+D7</f>
        <v>3</v>
      </c>
      <c r="E12" s="54" t="n">
        <f aca="false">E11+E7</f>
        <v>3</v>
      </c>
      <c r="F12" s="54" t="n">
        <f aca="false">F11+F7</f>
        <v>3</v>
      </c>
      <c r="G12" s="54" t="n">
        <f aca="false">G11+G7</f>
        <v>3</v>
      </c>
      <c r="H12" s="54" t="n">
        <f aca="false">H11+H7</f>
        <v>5</v>
      </c>
      <c r="I12" s="54" t="n">
        <f aca="false">I11+I7</f>
        <v>6</v>
      </c>
      <c r="J12" s="54" t="n">
        <f aca="false">J11+J7</f>
        <v>7</v>
      </c>
      <c r="K12" s="54" t="n">
        <f aca="false">K11+K7</f>
        <v>9</v>
      </c>
      <c r="L12" s="54" t="n">
        <f aca="false">L11+L7</f>
        <v>10</v>
      </c>
      <c r="M12" s="54" t="n">
        <f aca="false">M11+M7</f>
        <v>12</v>
      </c>
      <c r="N12" s="54" t="n">
        <f aca="false">N11+N7</f>
        <v>14</v>
      </c>
      <c r="O12" s="54" t="n">
        <f aca="false">O11+O7</f>
        <v>16</v>
      </c>
      <c r="P12" s="54" t="n">
        <f aca="false">P11+P7</f>
        <v>18</v>
      </c>
      <c r="Q12" s="54" t="n">
        <f aca="false">Q11+Q7</f>
        <v>20</v>
      </c>
      <c r="R12" s="54" t="n">
        <f aca="false">R11+R7</f>
        <v>22</v>
      </c>
      <c r="S12" s="54" t="n">
        <f aca="false">S11+S7</f>
        <v>24</v>
      </c>
      <c r="T12" s="54" t="n">
        <f aca="false">T11+T7</f>
        <v>26</v>
      </c>
      <c r="U12" s="54" t="n">
        <f aca="false">U11+U7</f>
        <v>28</v>
      </c>
      <c r="V12" s="54" t="n">
        <f aca="false">V11+V7</f>
        <v>30</v>
      </c>
      <c r="W12" s="54" t="n">
        <f aca="false">W11+W7</f>
        <v>32</v>
      </c>
      <c r="X12" s="54" t="n">
        <f aca="false">X11+X7</f>
        <v>34</v>
      </c>
      <c r="Y12" s="54" t="n">
        <f aca="false">Y11+Y7</f>
        <v>36</v>
      </c>
      <c r="Z12" s="54" t="n">
        <f aca="false">Z11+Z7</f>
        <v>38</v>
      </c>
      <c r="AA12" s="54" t="n">
        <f aca="false">AA11+AA7</f>
        <v>40</v>
      </c>
      <c r="AB12" s="55" t="n">
        <f aca="false">O12</f>
        <v>16</v>
      </c>
      <c r="AC12" s="55" t="n">
        <f aca="false">AA12</f>
        <v>40</v>
      </c>
      <c r="AD12" s="55" t="n">
        <f aca="false">AA12</f>
        <v>40</v>
      </c>
    </row>
    <row r="13" customFormat="false" ht="15" hidden="false" customHeight="false" outlineLevel="0" collapsed="false">
      <c r="B13" s="6" t="s">
        <v>323</v>
      </c>
      <c r="D13" s="60" t="n">
        <f aca="false">D12*Premissas!$C$14</f>
        <v>900</v>
      </c>
      <c r="E13" s="60" t="n">
        <f aca="false">E12*Premissas!$C$14</f>
        <v>900</v>
      </c>
      <c r="F13" s="60" t="n">
        <f aca="false">F12*Premissas!$C$14</f>
        <v>900</v>
      </c>
      <c r="G13" s="60" t="n">
        <f aca="false">G12*Premissas!$C$14</f>
        <v>900</v>
      </c>
      <c r="H13" s="60" t="n">
        <f aca="false">H12*Premissas!$C$14</f>
        <v>1500</v>
      </c>
      <c r="I13" s="60" t="n">
        <f aca="false">I12*Premissas!$C$14</f>
        <v>1800</v>
      </c>
      <c r="J13" s="60" t="n">
        <f aca="false">J12*Premissas!$C$14</f>
        <v>2100</v>
      </c>
      <c r="K13" s="60" t="n">
        <f aca="false">K12*Premissas!$C$14</f>
        <v>2700</v>
      </c>
      <c r="L13" s="60" t="n">
        <f aca="false">L12*Premissas!$C$14</f>
        <v>3000</v>
      </c>
      <c r="M13" s="60" t="n">
        <f aca="false">M12*Premissas!$C$14</f>
        <v>3600</v>
      </c>
      <c r="N13" s="60" t="n">
        <f aca="false">N12*Premissas!$C$14</f>
        <v>4200</v>
      </c>
      <c r="O13" s="60" t="n">
        <f aca="false">O12*Premissas!$C$14</f>
        <v>4800</v>
      </c>
      <c r="P13" s="60" t="n">
        <f aca="false">P12*Premissas!$C$14</f>
        <v>5400</v>
      </c>
      <c r="Q13" s="60" t="n">
        <f aca="false">Q12*Premissas!$C$14</f>
        <v>6000</v>
      </c>
      <c r="R13" s="60" t="n">
        <f aca="false">R12*Premissas!$C$14</f>
        <v>6600</v>
      </c>
      <c r="S13" s="60" t="n">
        <f aca="false">S12*Premissas!$C$14</f>
        <v>7200</v>
      </c>
      <c r="T13" s="60" t="n">
        <f aca="false">T12*Premissas!$C$14</f>
        <v>7800</v>
      </c>
      <c r="U13" s="60" t="n">
        <f aca="false">U12*Premissas!$C$14</f>
        <v>8400</v>
      </c>
      <c r="V13" s="60" t="n">
        <f aca="false">V12*Premissas!$C$14</f>
        <v>9000</v>
      </c>
      <c r="W13" s="60" t="n">
        <f aca="false">W12*Premissas!$C$14</f>
        <v>9600</v>
      </c>
      <c r="X13" s="60" t="n">
        <f aca="false">X12*Premissas!$C$14</f>
        <v>10200</v>
      </c>
      <c r="Y13" s="60" t="n">
        <f aca="false">Y12*Premissas!$C$14</f>
        <v>10800</v>
      </c>
      <c r="Z13" s="60" t="n">
        <f aca="false">Z12*Premissas!$C$14</f>
        <v>11400</v>
      </c>
      <c r="AA13" s="60" t="n">
        <f aca="false">AA12*Premissas!$C$14</f>
        <v>12000</v>
      </c>
      <c r="AB13" s="53" t="n">
        <f aca="false">O13</f>
        <v>4800</v>
      </c>
      <c r="AC13" s="53" t="n">
        <f aca="false">AA13</f>
        <v>12000</v>
      </c>
      <c r="AD13" s="53" t="n">
        <f aca="false">AA13</f>
        <v>12000</v>
      </c>
    </row>
    <row r="14" customFormat="false" ht="15" hidden="false" customHeight="false" outlineLevel="0" collapsed="false">
      <c r="B14" s="6" t="s">
        <v>324</v>
      </c>
      <c r="D14" s="38" t="n">
        <f aca="false">Premissas!$C$17</f>
        <v>7500</v>
      </c>
      <c r="E14" s="38" t="n">
        <f aca="false">Premissas!$C$17</f>
        <v>7500</v>
      </c>
      <c r="F14" s="38" t="n">
        <f aca="false">Premissas!$C$17</f>
        <v>7500</v>
      </c>
      <c r="G14" s="38" t="n">
        <f aca="false">Premissas!$C$17</f>
        <v>7500</v>
      </c>
      <c r="H14" s="38" t="n">
        <f aca="false">Premissas!$C$17</f>
        <v>7500</v>
      </c>
      <c r="I14" s="38" t="n">
        <f aca="false">Premissas!$C$17</f>
        <v>7500</v>
      </c>
      <c r="J14" s="38" t="n">
        <f aca="false">Premissas!$C$17</f>
        <v>7500</v>
      </c>
      <c r="K14" s="38" t="n">
        <f aca="false">Premissas!$C$17</f>
        <v>7500</v>
      </c>
      <c r="L14" s="38" t="n">
        <f aca="false">Premissas!$C$17</f>
        <v>7500</v>
      </c>
      <c r="M14" s="38" t="n">
        <f aca="false">Premissas!$C$17</f>
        <v>7500</v>
      </c>
      <c r="N14" s="38" t="n">
        <f aca="false">Premissas!$C$17</f>
        <v>7500</v>
      </c>
      <c r="O14" s="38" t="n">
        <f aca="false">Premissas!$C$17</f>
        <v>7500</v>
      </c>
      <c r="P14" s="38" t="n">
        <f aca="false">Premissas!$C$17</f>
        <v>7500</v>
      </c>
      <c r="Q14" s="38" t="n">
        <f aca="false">Premissas!$C$17</f>
        <v>7500</v>
      </c>
      <c r="R14" s="38" t="n">
        <f aca="false">Premissas!$C$17</f>
        <v>7500</v>
      </c>
      <c r="S14" s="38" t="n">
        <f aca="false">Premissas!$C$17</f>
        <v>7500</v>
      </c>
      <c r="T14" s="38" t="n">
        <f aca="false">Premissas!$C$17</f>
        <v>7500</v>
      </c>
      <c r="U14" s="38" t="n">
        <f aca="false">Premissas!$C$17</f>
        <v>7500</v>
      </c>
      <c r="V14" s="38" t="n">
        <f aca="false">Premissas!$C$17</f>
        <v>7500</v>
      </c>
      <c r="W14" s="38" t="n">
        <f aca="false">Premissas!$C$17</f>
        <v>7500</v>
      </c>
      <c r="X14" s="38" t="n">
        <f aca="false">Premissas!$C$17</f>
        <v>7500</v>
      </c>
      <c r="Y14" s="38" t="n">
        <f aca="false">Premissas!$C$17</f>
        <v>7500</v>
      </c>
      <c r="Z14" s="38" t="n">
        <f aca="false">Premissas!$C$17</f>
        <v>7500</v>
      </c>
      <c r="AA14" s="38" t="n">
        <f aca="false">Premissas!$C$17</f>
        <v>7500</v>
      </c>
      <c r="AB14" s="46" t="n">
        <f aca="false">AVERAGE(D14:O14)</f>
        <v>7500</v>
      </c>
      <c r="AC14" s="46" t="n">
        <f aca="false">AVERAGE(P14:AA14)</f>
        <v>7500</v>
      </c>
      <c r="AD14" s="46" t="n">
        <f aca="false">AVERAGE(D14:AA14)</f>
        <v>7500</v>
      </c>
    </row>
    <row r="15" customFormat="false" ht="15" hidden="false" customHeight="false" outlineLevel="0" collapsed="false">
      <c r="B15" s="62" t="s">
        <v>325</v>
      </c>
      <c r="C15" s="63"/>
      <c r="D15" s="64" t="n">
        <f aca="false">D11*D14</f>
        <v>0</v>
      </c>
      <c r="E15" s="64" t="n">
        <f aca="false">E11*E14</f>
        <v>0</v>
      </c>
      <c r="F15" s="64" t="n">
        <f aca="false">F11*F14</f>
        <v>0</v>
      </c>
      <c r="G15" s="64" t="n">
        <f aca="false">G11*G14</f>
        <v>22500</v>
      </c>
      <c r="H15" s="64" t="n">
        <f aca="false">H11*H14</f>
        <v>37500</v>
      </c>
      <c r="I15" s="64" t="n">
        <f aca="false">I11*I14</f>
        <v>45000</v>
      </c>
      <c r="J15" s="64" t="n">
        <f aca="false">J11*J14</f>
        <v>52500</v>
      </c>
      <c r="K15" s="64" t="n">
        <f aca="false">K11*K14</f>
        <v>67500</v>
      </c>
      <c r="L15" s="64" t="n">
        <f aca="false">L11*L14</f>
        <v>75000</v>
      </c>
      <c r="M15" s="64" t="n">
        <f aca="false">M11*M14</f>
        <v>90000</v>
      </c>
      <c r="N15" s="64" t="n">
        <f aca="false">N11*N14</f>
        <v>105000</v>
      </c>
      <c r="O15" s="64" t="n">
        <f aca="false">O11*O14</f>
        <v>120000</v>
      </c>
      <c r="P15" s="64" t="n">
        <f aca="false">P11*P14</f>
        <v>135000</v>
      </c>
      <c r="Q15" s="64" t="n">
        <f aca="false">Q11*Q14</f>
        <v>150000</v>
      </c>
      <c r="R15" s="64" t="n">
        <f aca="false">R11*R14</f>
        <v>165000</v>
      </c>
      <c r="S15" s="64" t="n">
        <f aca="false">S11*S14</f>
        <v>180000</v>
      </c>
      <c r="T15" s="64" t="n">
        <f aca="false">T11*T14</f>
        <v>195000</v>
      </c>
      <c r="U15" s="64" t="n">
        <f aca="false">U11*U14</f>
        <v>210000</v>
      </c>
      <c r="V15" s="64" t="n">
        <f aca="false">V11*V14</f>
        <v>225000</v>
      </c>
      <c r="W15" s="64" t="n">
        <f aca="false">W11*W14</f>
        <v>240000</v>
      </c>
      <c r="X15" s="64" t="n">
        <f aca="false">X11*X14</f>
        <v>255000</v>
      </c>
      <c r="Y15" s="64" t="n">
        <f aca="false">Y11*Y14</f>
        <v>270000</v>
      </c>
      <c r="Z15" s="64" t="n">
        <f aca="false">Z11*Z14</f>
        <v>285000</v>
      </c>
      <c r="AA15" s="64" t="n">
        <f aca="false">AA11*AA14</f>
        <v>300000</v>
      </c>
      <c r="AB15" s="65" t="n">
        <f aca="false">SUM(D15:O15)</f>
        <v>615000</v>
      </c>
      <c r="AC15" s="65" t="n">
        <f aca="false">SUM(P15:AA15)</f>
        <v>2610000</v>
      </c>
      <c r="AD15" s="65" t="n">
        <f aca="false">SUM(D15:AA15)</f>
        <v>3225000</v>
      </c>
    </row>
    <row r="16" customFormat="false" ht="15" hidden="false" customHeight="false" outlineLevel="0" collapsed="false">
      <c r="B16" s="6" t="s">
        <v>326</v>
      </c>
      <c r="D16" s="38" t="n">
        <f aca="false">D15*12</f>
        <v>0</v>
      </c>
      <c r="E16" s="38" t="n">
        <f aca="false">E15*12</f>
        <v>0</v>
      </c>
      <c r="F16" s="38" t="n">
        <f aca="false">F15*12</f>
        <v>0</v>
      </c>
      <c r="G16" s="38" t="n">
        <f aca="false">G15*12</f>
        <v>270000</v>
      </c>
      <c r="H16" s="38" t="n">
        <f aca="false">H15*12</f>
        <v>450000</v>
      </c>
      <c r="I16" s="38" t="n">
        <f aca="false">I15*12</f>
        <v>540000</v>
      </c>
      <c r="J16" s="38" t="n">
        <f aca="false">J15*12</f>
        <v>630000</v>
      </c>
      <c r="K16" s="38" t="n">
        <f aca="false">K15*12</f>
        <v>810000</v>
      </c>
      <c r="L16" s="38" t="n">
        <f aca="false">L15*12</f>
        <v>900000</v>
      </c>
      <c r="M16" s="38" t="n">
        <f aca="false">M15*12</f>
        <v>1080000</v>
      </c>
      <c r="N16" s="38" t="n">
        <f aca="false">N15*12</f>
        <v>1260000</v>
      </c>
      <c r="O16" s="38" t="n">
        <f aca="false">O15*12</f>
        <v>1440000</v>
      </c>
      <c r="P16" s="38" t="n">
        <f aca="false">P15*12</f>
        <v>1620000</v>
      </c>
      <c r="Q16" s="38" t="n">
        <f aca="false">Q15*12</f>
        <v>1800000</v>
      </c>
      <c r="R16" s="38" t="n">
        <f aca="false">R15*12</f>
        <v>1980000</v>
      </c>
      <c r="S16" s="38" t="n">
        <f aca="false">S15*12</f>
        <v>2160000</v>
      </c>
      <c r="T16" s="38" t="n">
        <f aca="false">T15*12</f>
        <v>2340000</v>
      </c>
      <c r="U16" s="38" t="n">
        <f aca="false">U15*12</f>
        <v>2520000</v>
      </c>
      <c r="V16" s="38" t="n">
        <f aca="false">V15*12</f>
        <v>2700000</v>
      </c>
      <c r="W16" s="38" t="n">
        <f aca="false">W15*12</f>
        <v>2880000</v>
      </c>
      <c r="X16" s="38" t="n">
        <f aca="false">X15*12</f>
        <v>3060000</v>
      </c>
      <c r="Y16" s="38" t="n">
        <f aca="false">Y15*12</f>
        <v>3240000</v>
      </c>
      <c r="Z16" s="38" t="n">
        <f aca="false">Z15*12</f>
        <v>3420000</v>
      </c>
      <c r="AA16" s="38" t="n">
        <f aca="false">AA15*12</f>
        <v>3600000</v>
      </c>
      <c r="AB16" s="46" t="n">
        <f aca="false">O16</f>
        <v>1440000</v>
      </c>
      <c r="AC16" s="46" t="n">
        <f aca="false">AA16</f>
        <v>3600000</v>
      </c>
      <c r="AD16" s="46" t="n">
        <f aca="false">AA16</f>
        <v>3600000</v>
      </c>
    </row>
    <row r="18" customFormat="false" ht="15" hidden="false" customHeight="false" outlineLevel="0" collapsed="false">
      <c r="B18" s="8" t="s">
        <v>327</v>
      </c>
    </row>
    <row r="19" customFormat="false" ht="15" hidden="false" customHeight="false" outlineLevel="0" collapsed="false">
      <c r="B19" s="4" t="s">
        <v>328</v>
      </c>
      <c r="C19" s="4" t="s">
        <v>329</v>
      </c>
      <c r="D19" s="4" t="s">
        <v>330</v>
      </c>
      <c r="E19" s="4" t="s">
        <v>331</v>
      </c>
      <c r="F19" s="4" t="s">
        <v>332</v>
      </c>
    </row>
    <row r="20" customFormat="false" ht="15" hidden="false" customHeight="false" outlineLevel="0" collapsed="false">
      <c r="B20" s="6" t="s">
        <v>333</v>
      </c>
      <c r="C20" s="66" t="n">
        <v>4</v>
      </c>
      <c r="D20" s="35" t="n">
        <v>3</v>
      </c>
      <c r="E20" s="54" t="n">
        <f aca="false">G11</f>
        <v>3</v>
      </c>
      <c r="F20" s="67" t="str">
        <f aca="false">IF(ABS(E20-D20)&lt;0.01,"OK","difere")</f>
        <v>OK</v>
      </c>
    </row>
    <row r="21" customFormat="false" ht="15" hidden="false" customHeight="false" outlineLevel="0" collapsed="false">
      <c r="B21" s="6" t="s">
        <v>333</v>
      </c>
      <c r="C21" s="66" t="n">
        <v>6</v>
      </c>
      <c r="D21" s="35" t="n">
        <v>6</v>
      </c>
      <c r="E21" s="54" t="n">
        <f aca="false">I11</f>
        <v>6</v>
      </c>
      <c r="F21" s="67" t="str">
        <f aca="false">IF(ABS(E21-D21)&lt;0.01,"OK","difere")</f>
        <v>OK</v>
      </c>
    </row>
    <row r="22" customFormat="false" ht="15" hidden="false" customHeight="false" outlineLevel="0" collapsed="false">
      <c r="B22" s="6" t="s">
        <v>333</v>
      </c>
      <c r="C22" s="66" t="n">
        <v>9</v>
      </c>
      <c r="D22" s="35" t="n">
        <v>10</v>
      </c>
      <c r="E22" s="54" t="n">
        <f aca="false">L11</f>
        <v>10</v>
      </c>
      <c r="F22" s="67" t="str">
        <f aca="false">IF(ABS(E22-D22)&lt;0.01,"OK","difere")</f>
        <v>OK</v>
      </c>
    </row>
    <row r="23" customFormat="false" ht="15" hidden="false" customHeight="false" outlineLevel="0" collapsed="false">
      <c r="B23" s="6" t="s">
        <v>333</v>
      </c>
      <c r="C23" s="66" t="n">
        <v>12</v>
      </c>
      <c r="D23" s="35" t="n">
        <v>16</v>
      </c>
      <c r="E23" s="54" t="n">
        <f aca="false">O11</f>
        <v>16</v>
      </c>
      <c r="F23" s="67" t="str">
        <f aca="false">IF(ABS(E23-D23)&lt;0.01,"OK","difere")</f>
        <v>OK</v>
      </c>
    </row>
    <row r="24" customFormat="false" ht="15" hidden="false" customHeight="false" outlineLevel="0" collapsed="false">
      <c r="B24" s="6" t="s">
        <v>333</v>
      </c>
      <c r="C24" s="66" t="n">
        <v>18</v>
      </c>
      <c r="D24" s="35" t="n">
        <v>28</v>
      </c>
      <c r="E24" s="54" t="n">
        <f aca="false">U11</f>
        <v>28</v>
      </c>
      <c r="F24" s="67" t="str">
        <f aca="false">IF(ABS(E24-D24)&lt;0.01,"OK","difere")</f>
        <v>OK</v>
      </c>
    </row>
    <row r="25" customFormat="false" ht="15" hidden="false" customHeight="false" outlineLevel="0" collapsed="false">
      <c r="B25" s="6" t="s">
        <v>333</v>
      </c>
      <c r="C25" s="66" t="n">
        <v>24</v>
      </c>
      <c r="D25" s="35" t="n">
        <v>40</v>
      </c>
      <c r="E25" s="54" t="n">
        <f aca="false">AA11</f>
        <v>40</v>
      </c>
      <c r="F25" s="67" t="str">
        <f aca="false">IF(ABS(E25-D25)&lt;0.01,"OK","difere")</f>
        <v>OK</v>
      </c>
    </row>
    <row r="26" customFormat="false" ht="15" hidden="false" customHeight="false" outlineLevel="0" collapsed="false">
      <c r="B26" s="6" t="s">
        <v>334</v>
      </c>
      <c r="C26" s="66" t="n">
        <v>24</v>
      </c>
      <c r="D26" s="15" t="n">
        <v>3600000</v>
      </c>
      <c r="E26" s="38" t="n">
        <f aca="false">AA16</f>
        <v>3600000</v>
      </c>
      <c r="F26" s="67" t="str">
        <f aca="false">IF(ABS(E26-D26)&lt;1,"OK","difere")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B6E0"/>
    <pageSetUpPr fitToPage="true"/>
  </sheetPr>
  <dimension ref="B2:AD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6"/>
    <col collapsed="false" customWidth="true" hidden="false" outlineLevel="0" max="27" min="3" style="0" width="11.5"/>
    <col collapsed="false" customWidth="true" hidden="false" outlineLevel="0" max="30" min="28" style="0" width="13.5"/>
  </cols>
  <sheetData>
    <row r="2" customFormat="false" ht="21.75" hidden="false" customHeight="true" outlineLevel="0" collapsed="false">
      <c r="B2" s="1" t="s">
        <v>335</v>
      </c>
    </row>
    <row r="3" customFormat="false" ht="15" hidden="false" customHeight="false" outlineLevel="0" collapsed="false">
      <c r="B3" s="2" t="s">
        <v>336</v>
      </c>
    </row>
    <row r="5" customFormat="false" ht="30" hidden="false" customHeight="true" outlineLevel="0" collapsed="false">
      <c r="B5" s="4" t="s">
        <v>337</v>
      </c>
      <c r="C5" s="30" t="s">
        <v>338</v>
      </c>
      <c r="D5" s="30" t="s">
        <v>339</v>
      </c>
      <c r="E5" s="30" t="s">
        <v>340</v>
      </c>
      <c r="F5" s="30" t="s">
        <v>341</v>
      </c>
      <c r="G5" s="30" t="s">
        <v>342</v>
      </c>
    </row>
    <row r="6" customFormat="false" ht="15" hidden="false" customHeight="false" outlineLevel="0" collapsed="false">
      <c r="B6" s="25" t="s">
        <v>343</v>
      </c>
    </row>
    <row r="7" customFormat="false" ht="15" hidden="false" customHeight="false" outlineLevel="0" collapsed="false">
      <c r="B7" s="6" t="s">
        <v>344</v>
      </c>
      <c r="C7" s="68" t="n">
        <v>0</v>
      </c>
      <c r="D7" s="68" t="n">
        <v>0.5</v>
      </c>
      <c r="E7" s="68" t="n">
        <v>0.5</v>
      </c>
      <c r="F7" s="68" t="n">
        <v>1</v>
      </c>
      <c r="G7" s="15" t="n">
        <v>4000</v>
      </c>
    </row>
    <row r="8" customFormat="false" ht="15" hidden="false" customHeight="false" outlineLevel="0" collapsed="false">
      <c r="B8" s="6" t="s">
        <v>345</v>
      </c>
      <c r="C8" s="68" t="n">
        <v>0</v>
      </c>
      <c r="D8" s="68" t="n">
        <v>0</v>
      </c>
      <c r="E8" s="68" t="n">
        <v>1</v>
      </c>
      <c r="F8" s="68" t="n">
        <v>1</v>
      </c>
      <c r="G8" s="15" t="n">
        <v>3500</v>
      </c>
    </row>
    <row r="9" customFormat="false" ht="15" hidden="false" customHeight="false" outlineLevel="0" collapsed="false">
      <c r="B9" s="25" t="s">
        <v>346</v>
      </c>
    </row>
    <row r="11" customFormat="false" ht="30" hidden="false" customHeight="true" outlineLevel="0" collapsed="false">
      <c r="B11" s="4" t="s">
        <v>347</v>
      </c>
      <c r="C11" s="30" t="s">
        <v>338</v>
      </c>
      <c r="D11" s="30" t="s">
        <v>339</v>
      </c>
      <c r="E11" s="30" t="s">
        <v>340</v>
      </c>
      <c r="F11" s="30" t="s">
        <v>341</v>
      </c>
      <c r="G11" s="30" t="s">
        <v>348</v>
      </c>
      <c r="H11" s="4" t="s">
        <v>220</v>
      </c>
    </row>
    <row r="12" customFormat="false" ht="15" hidden="false" customHeight="false" outlineLevel="0" collapsed="false">
      <c r="B12" s="6" t="s">
        <v>349</v>
      </c>
      <c r="C12" s="15" t="n">
        <v>0</v>
      </c>
      <c r="D12" s="15" t="n">
        <v>800</v>
      </c>
      <c r="E12" s="15" t="n">
        <v>1200</v>
      </c>
      <c r="F12" s="15" t="n">
        <v>1800</v>
      </c>
      <c r="G12" s="69" t="s">
        <v>350</v>
      </c>
    </row>
    <row r="13" customFormat="false" ht="15" hidden="false" customHeight="false" outlineLevel="0" collapsed="false">
      <c r="B13" s="6" t="s">
        <v>351</v>
      </c>
      <c r="C13" s="15" t="n">
        <v>0</v>
      </c>
      <c r="D13" s="15" t="n">
        <v>0</v>
      </c>
      <c r="E13" s="15" t="n">
        <v>0</v>
      </c>
      <c r="F13" s="15" t="n">
        <v>0</v>
      </c>
      <c r="G13" s="69" t="s">
        <v>350</v>
      </c>
    </row>
    <row r="14" customFormat="false" ht="15" hidden="false" customHeight="false" outlineLevel="0" collapsed="false">
      <c r="B14" s="6" t="s">
        <v>352</v>
      </c>
      <c r="C14" s="15" t="n">
        <v>0</v>
      </c>
      <c r="D14" s="15" t="n">
        <v>0</v>
      </c>
      <c r="E14" s="15" t="n">
        <v>0</v>
      </c>
      <c r="F14" s="15" t="n">
        <v>0</v>
      </c>
      <c r="G14" s="69" t="s">
        <v>353</v>
      </c>
    </row>
    <row r="15" customFormat="false" ht="15" hidden="false" customHeight="false" outlineLevel="0" collapsed="false">
      <c r="B15" s="6" t="s">
        <v>354</v>
      </c>
      <c r="C15" s="15" t="n">
        <v>0</v>
      </c>
      <c r="D15" s="15" t="n">
        <v>0</v>
      </c>
      <c r="E15" s="15" t="n">
        <v>0</v>
      </c>
      <c r="F15" s="15" t="n">
        <v>0</v>
      </c>
      <c r="G15" s="69" t="s">
        <v>353</v>
      </c>
    </row>
    <row r="16" customFormat="false" ht="15" hidden="false" customHeight="false" outlineLevel="0" collapsed="false">
      <c r="B16" s="6" t="s">
        <v>355</v>
      </c>
      <c r="C16" s="15" t="n">
        <v>150</v>
      </c>
      <c r="D16" s="15" t="n">
        <v>250</v>
      </c>
      <c r="E16" s="15" t="n">
        <v>300</v>
      </c>
      <c r="F16" s="15" t="n">
        <v>400</v>
      </c>
      <c r="G16" s="69" t="s">
        <v>353</v>
      </c>
    </row>
    <row r="17" customFormat="false" ht="15" hidden="false" customHeight="false" outlineLevel="0" collapsed="false">
      <c r="B17" s="6" t="s">
        <v>356</v>
      </c>
      <c r="C17" s="15" t="n">
        <v>0</v>
      </c>
      <c r="D17" s="15" t="n">
        <v>100</v>
      </c>
      <c r="E17" s="15" t="n">
        <v>150</v>
      </c>
      <c r="F17" s="15" t="n">
        <v>200</v>
      </c>
      <c r="G17" s="69" t="s">
        <v>357</v>
      </c>
    </row>
    <row r="18" customFormat="false" ht="15" hidden="false" customHeight="false" outlineLevel="0" collapsed="false">
      <c r="B18" s="6" t="s">
        <v>358</v>
      </c>
      <c r="C18" s="15" t="n">
        <v>0</v>
      </c>
      <c r="D18" s="15" t="n">
        <v>0</v>
      </c>
      <c r="E18" s="15" t="n">
        <v>0</v>
      </c>
      <c r="F18" s="15" t="n">
        <v>0</v>
      </c>
      <c r="G18" s="69" t="s">
        <v>359</v>
      </c>
    </row>
    <row r="19" customFormat="false" ht="15" hidden="false" customHeight="false" outlineLevel="0" collapsed="false">
      <c r="B19" s="6" t="s">
        <v>360</v>
      </c>
      <c r="C19" s="15" t="n">
        <v>30</v>
      </c>
      <c r="D19" s="15" t="n">
        <v>50</v>
      </c>
      <c r="E19" s="15" t="n">
        <v>80</v>
      </c>
      <c r="F19" s="15" t="n">
        <v>120</v>
      </c>
      <c r="G19" s="69" t="s">
        <v>357</v>
      </c>
    </row>
    <row r="20" customFormat="false" ht="15" hidden="false" customHeight="false" outlineLevel="0" collapsed="false">
      <c r="B20" s="6" t="s">
        <v>361</v>
      </c>
      <c r="C20" s="15" t="n">
        <v>20</v>
      </c>
      <c r="D20" s="15" t="n">
        <v>20</v>
      </c>
      <c r="E20" s="15" t="n">
        <v>20</v>
      </c>
      <c r="F20" s="15" t="n">
        <v>20</v>
      </c>
      <c r="G20" s="69" t="s">
        <v>357</v>
      </c>
    </row>
    <row r="21" customFormat="false" ht="15" hidden="false" customHeight="false" outlineLevel="0" collapsed="false">
      <c r="B21" s="6" t="s">
        <v>362</v>
      </c>
      <c r="C21" s="15" t="n">
        <v>0</v>
      </c>
      <c r="D21" s="15" t="n">
        <v>0</v>
      </c>
      <c r="E21" s="15" t="n">
        <v>0</v>
      </c>
      <c r="F21" s="15" t="n">
        <v>0</v>
      </c>
      <c r="G21" s="69" t="s">
        <v>357</v>
      </c>
    </row>
    <row r="22" customFormat="false" ht="15" hidden="false" customHeight="false" outlineLevel="0" collapsed="false">
      <c r="B22" s="6" t="s">
        <v>363</v>
      </c>
      <c r="C22" s="15" t="n">
        <v>300</v>
      </c>
      <c r="D22" s="15" t="n">
        <v>900</v>
      </c>
      <c r="E22" s="15" t="n">
        <v>1400</v>
      </c>
      <c r="F22" s="15" t="n">
        <v>2000</v>
      </c>
      <c r="G22" s="69" t="s">
        <v>357</v>
      </c>
    </row>
    <row r="23" customFormat="false" ht="15" hidden="false" customHeight="false" outlineLevel="0" collapsed="false">
      <c r="B23" s="6" t="s">
        <v>364</v>
      </c>
      <c r="C23" s="15" t="n">
        <v>0</v>
      </c>
      <c r="D23" s="15" t="n">
        <v>0</v>
      </c>
      <c r="E23" s="15" t="n">
        <v>120</v>
      </c>
      <c r="F23" s="15" t="n">
        <v>160</v>
      </c>
      <c r="G23" s="69" t="s">
        <v>365</v>
      </c>
    </row>
    <row r="24" customFormat="false" ht="15" hidden="false" customHeight="false" outlineLevel="0" collapsed="false">
      <c r="B24" s="6" t="s">
        <v>366</v>
      </c>
      <c r="C24" s="15" t="n">
        <v>450</v>
      </c>
      <c r="D24" s="15" t="n">
        <v>600</v>
      </c>
      <c r="E24" s="15" t="n">
        <v>800</v>
      </c>
      <c r="F24" s="15" t="n">
        <v>1000</v>
      </c>
      <c r="G24" s="69" t="s">
        <v>357</v>
      </c>
    </row>
    <row r="25" customFormat="false" ht="15" hidden="false" customHeight="false" outlineLevel="0" collapsed="false">
      <c r="B25" s="6" t="s">
        <v>367</v>
      </c>
      <c r="C25" s="15" t="n">
        <v>900</v>
      </c>
      <c r="D25" s="15" t="n">
        <v>1000</v>
      </c>
      <c r="E25" s="15" t="n">
        <v>1400</v>
      </c>
      <c r="F25" s="15" t="n">
        <v>2000</v>
      </c>
      <c r="G25" s="69" t="s">
        <v>357</v>
      </c>
    </row>
    <row r="26" customFormat="false" ht="15" hidden="false" customHeight="false" outlineLevel="0" collapsed="false">
      <c r="B26" s="6" t="s">
        <v>368</v>
      </c>
      <c r="C26" s="15" t="n">
        <v>450</v>
      </c>
      <c r="D26" s="15" t="n">
        <v>500</v>
      </c>
      <c r="E26" s="15" t="n">
        <v>900</v>
      </c>
      <c r="F26" s="15" t="n">
        <v>1300</v>
      </c>
      <c r="G26" s="69" t="s">
        <v>357</v>
      </c>
    </row>
    <row r="27" customFormat="false" ht="15" hidden="false" customHeight="false" outlineLevel="0" collapsed="false">
      <c r="B27" s="6" t="s">
        <v>369</v>
      </c>
      <c r="C27" s="15" t="n">
        <v>200</v>
      </c>
      <c r="D27" s="15" t="n">
        <v>180</v>
      </c>
      <c r="E27" s="15" t="n">
        <v>480</v>
      </c>
      <c r="F27" s="15" t="n">
        <v>250</v>
      </c>
      <c r="G27" s="69" t="s">
        <v>357</v>
      </c>
    </row>
    <row r="28" customFormat="false" ht="15" hidden="false" customHeight="false" outlineLevel="0" collapsed="false">
      <c r="B28" s="5" t="s">
        <v>370</v>
      </c>
      <c r="C28" s="46" t="n">
        <f aca="false">SUM(C12:C27)</f>
        <v>2500</v>
      </c>
      <c r="D28" s="46" t="n">
        <f aca="false">SUM(D12:D27)</f>
        <v>4400</v>
      </c>
      <c r="E28" s="46" t="n">
        <f aca="false">SUM(E12:E27)</f>
        <v>6850</v>
      </c>
      <c r="F28" s="46" t="n">
        <f aca="false">SUM(F12:F27)</f>
        <v>9250</v>
      </c>
    </row>
    <row r="29" customFormat="false" ht="15" hidden="false" customHeight="false" outlineLevel="0" collapsed="false">
      <c r="B29" s="6" t="s">
        <v>371</v>
      </c>
      <c r="C29" s="38" t="n">
        <f aca="false">SUMPRODUCT(C7:C8,$G$7:$G$8)*(1+Premissas!$C$45)</f>
        <v>0</v>
      </c>
      <c r="D29" s="38" t="n">
        <f aca="false">SUMPRODUCT(D7:D8,$G$7:$G$8)*(1+Premissas!$C$45)</f>
        <v>2600</v>
      </c>
      <c r="E29" s="38" t="n">
        <f aca="false">SUMPRODUCT(E7:E8,$G$7:$G$8)*(1+Premissas!$C$45)</f>
        <v>7150</v>
      </c>
      <c r="F29" s="38" t="n">
        <f aca="false">SUMPRODUCT(F7:F8,$G$7:$G$8)*(1+Premissas!$C$45)</f>
        <v>9750</v>
      </c>
    </row>
    <row r="30" customFormat="false" ht="15" hidden="false" customHeight="false" outlineLevel="0" collapsed="false">
      <c r="B30" s="5" t="s">
        <v>372</v>
      </c>
      <c r="C30" s="49" t="n">
        <f aca="false">C28+C29</f>
        <v>2500</v>
      </c>
      <c r="D30" s="49" t="n">
        <f aca="false">D28+D29</f>
        <v>7000</v>
      </c>
      <c r="E30" s="49" t="n">
        <f aca="false">E28+E29</f>
        <v>14000</v>
      </c>
      <c r="F30" s="49" t="n">
        <f aca="false">F28+F29</f>
        <v>19000</v>
      </c>
    </row>
    <row r="31" customFormat="false" ht="15" hidden="false" customHeight="false" outlineLevel="0" collapsed="false">
      <c r="B31" s="25" t="s">
        <v>373</v>
      </c>
      <c r="C31" s="15" t="n">
        <v>2500</v>
      </c>
      <c r="D31" s="15" t="n">
        <v>7000</v>
      </c>
      <c r="E31" s="15" t="n">
        <v>14000</v>
      </c>
      <c r="F31" s="15" t="n">
        <v>19000</v>
      </c>
    </row>
    <row r="32" customFormat="false" ht="15" hidden="false" customHeight="false" outlineLevel="0" collapsed="false">
      <c r="B32" s="25" t="s">
        <v>374</v>
      </c>
      <c r="C32" s="70" t="str">
        <f aca="false">IF(ABS(C30-C31)&lt;0.5,"OK","difere")</f>
        <v>OK</v>
      </c>
      <c r="D32" s="70" t="str">
        <f aca="false">IF(ABS(D30-D31)&lt;0.5,"OK","difere")</f>
        <v>OK</v>
      </c>
      <c r="E32" s="70" t="str">
        <f aca="false">IF(ABS(E30-E31)&lt;0.5,"OK","difere")</f>
        <v>OK</v>
      </c>
      <c r="F32" s="70" t="str">
        <f aca="false">IF(ABS(F30-F31)&lt;0.5,"OK","difere")</f>
        <v>OK</v>
      </c>
    </row>
    <row r="33" customFormat="false" ht="15" hidden="false" customHeight="false" outlineLevel="0" collapsed="false">
      <c r="B33" s="25" t="s">
        <v>375</v>
      </c>
      <c r="C33" s="13" t="n">
        <f aca="false">'Investimento Inicial'!$C$39</f>
        <v>101.666666666667</v>
      </c>
      <c r="D33" s="13" t="n">
        <f aca="false">'Investimento Inicial'!$C$39</f>
        <v>101.666666666667</v>
      </c>
      <c r="E33" s="13" t="n">
        <f aca="false">'Investimento Inicial'!$C$39</f>
        <v>101.666666666667</v>
      </c>
      <c r="F33" s="13" t="n">
        <f aca="false">'Investimento Inicial'!$C$39</f>
        <v>101.666666666667</v>
      </c>
    </row>
    <row r="35" customFormat="false" ht="15" hidden="false" customHeight="false" outlineLevel="0" collapsed="false">
      <c r="B35" s="8" t="s">
        <v>376</v>
      </c>
    </row>
    <row r="36" customFormat="false" ht="18" hidden="false" customHeight="true" outlineLevel="0" collapsed="false">
      <c r="B36" s="4" t="s">
        <v>316</v>
      </c>
      <c r="D36" s="30" t="s">
        <v>273</v>
      </c>
      <c r="E36" s="30" t="s">
        <v>274</v>
      </c>
      <c r="F36" s="30" t="s">
        <v>275</v>
      </c>
      <c r="G36" s="30" t="s">
        <v>276</v>
      </c>
      <c r="H36" s="30" t="s">
        <v>277</v>
      </c>
      <c r="I36" s="30" t="s">
        <v>278</v>
      </c>
      <c r="J36" s="30" t="s">
        <v>279</v>
      </c>
      <c r="K36" s="30" t="s">
        <v>280</v>
      </c>
      <c r="L36" s="30" t="s">
        <v>281</v>
      </c>
      <c r="M36" s="30" t="s">
        <v>282</v>
      </c>
      <c r="N36" s="30" t="s">
        <v>283</v>
      </c>
      <c r="O36" s="30" t="s">
        <v>284</v>
      </c>
      <c r="P36" s="30" t="s">
        <v>285</v>
      </c>
      <c r="Q36" s="30" t="s">
        <v>286</v>
      </c>
      <c r="R36" s="30" t="s">
        <v>287</v>
      </c>
      <c r="S36" s="30" t="s">
        <v>288</v>
      </c>
      <c r="T36" s="30" t="s">
        <v>289</v>
      </c>
      <c r="U36" s="30" t="s">
        <v>290</v>
      </c>
      <c r="V36" s="30" t="s">
        <v>291</v>
      </c>
      <c r="W36" s="30" t="s">
        <v>292</v>
      </c>
      <c r="X36" s="30" t="s">
        <v>293</v>
      </c>
      <c r="Y36" s="30" t="s">
        <v>294</v>
      </c>
      <c r="Z36" s="30" t="s">
        <v>295</v>
      </c>
      <c r="AA36" s="30" t="s">
        <v>296</v>
      </c>
      <c r="AB36" s="51" t="s">
        <v>297</v>
      </c>
      <c r="AC36" s="51" t="s">
        <v>298</v>
      </c>
      <c r="AD36" s="51" t="s">
        <v>299</v>
      </c>
    </row>
    <row r="37" customFormat="false" ht="15" hidden="false" customHeight="false" outlineLevel="0" collapsed="false">
      <c r="B37" s="25" t="s">
        <v>300</v>
      </c>
      <c r="C37" s="52" t="n">
        <v>0</v>
      </c>
      <c r="D37" s="52" t="n">
        <v>1</v>
      </c>
      <c r="E37" s="52" t="n">
        <v>2</v>
      </c>
      <c r="F37" s="52" t="n">
        <v>3</v>
      </c>
      <c r="G37" s="52" t="n">
        <v>4</v>
      </c>
      <c r="H37" s="52" t="n">
        <v>5</v>
      </c>
      <c r="I37" s="52" t="n">
        <v>6</v>
      </c>
      <c r="J37" s="52" t="n">
        <v>7</v>
      </c>
      <c r="K37" s="52" t="n">
        <v>8</v>
      </c>
      <c r="L37" s="52" t="n">
        <v>9</v>
      </c>
      <c r="M37" s="52" t="n">
        <v>10</v>
      </c>
      <c r="N37" s="52" t="n">
        <v>11</v>
      </c>
      <c r="O37" s="52" t="n">
        <v>12</v>
      </c>
      <c r="P37" s="52" t="n">
        <v>13</v>
      </c>
      <c r="Q37" s="52" t="n">
        <v>14</v>
      </c>
      <c r="R37" s="52" t="n">
        <v>15</v>
      </c>
      <c r="S37" s="52" t="n">
        <v>16</v>
      </c>
      <c r="T37" s="52" t="n">
        <v>17</v>
      </c>
      <c r="U37" s="52" t="n">
        <v>18</v>
      </c>
      <c r="V37" s="52" t="n">
        <v>19</v>
      </c>
      <c r="W37" s="52" t="n">
        <v>20</v>
      </c>
      <c r="X37" s="52" t="n">
        <v>21</v>
      </c>
      <c r="Y37" s="52" t="n">
        <v>22</v>
      </c>
      <c r="Z37" s="52" t="n">
        <v>23</v>
      </c>
      <c r="AA37" s="52" t="n">
        <v>24</v>
      </c>
    </row>
    <row r="38" customFormat="false" ht="15" hidden="false" customHeight="false" outlineLevel="0" collapsed="false">
      <c r="B38" s="6" t="s">
        <v>377</v>
      </c>
      <c r="D38" s="66" t="n">
        <f aca="false">IF(D37&lt;=Premissas!$C$30,1,IF(D37&lt;=Premissas!$C$31,2,IF(D37&lt;=Premissas!$C$32,3,4)))</f>
        <v>1</v>
      </c>
      <c r="E38" s="66" t="n">
        <f aca="false">IF(E37&lt;=Premissas!$C$30,1,IF(E37&lt;=Premissas!$C$31,2,IF(E37&lt;=Premissas!$C$32,3,4)))</f>
        <v>1</v>
      </c>
      <c r="F38" s="66" t="n">
        <f aca="false">IF(F37&lt;=Premissas!$C$30,1,IF(F37&lt;=Premissas!$C$31,2,IF(F37&lt;=Premissas!$C$32,3,4)))</f>
        <v>1</v>
      </c>
      <c r="G38" s="66" t="n">
        <f aca="false">IF(G37&lt;=Premissas!$C$30,1,IF(G37&lt;=Premissas!$C$31,2,IF(G37&lt;=Premissas!$C$32,3,4)))</f>
        <v>2</v>
      </c>
      <c r="H38" s="66" t="n">
        <f aca="false">IF(H37&lt;=Premissas!$C$30,1,IF(H37&lt;=Premissas!$C$31,2,IF(H37&lt;=Premissas!$C$32,3,4)))</f>
        <v>2</v>
      </c>
      <c r="I38" s="66" t="n">
        <f aca="false">IF(I37&lt;=Premissas!$C$30,1,IF(I37&lt;=Premissas!$C$31,2,IF(I37&lt;=Premissas!$C$32,3,4)))</f>
        <v>2</v>
      </c>
      <c r="J38" s="66" t="n">
        <f aca="false">IF(J37&lt;=Premissas!$C$30,1,IF(J37&lt;=Premissas!$C$31,2,IF(J37&lt;=Premissas!$C$32,3,4)))</f>
        <v>2</v>
      </c>
      <c r="K38" s="66" t="n">
        <f aca="false">IF(K37&lt;=Premissas!$C$30,1,IF(K37&lt;=Premissas!$C$31,2,IF(K37&lt;=Premissas!$C$32,3,4)))</f>
        <v>2</v>
      </c>
      <c r="L38" s="66" t="n">
        <f aca="false">IF(L37&lt;=Premissas!$C$30,1,IF(L37&lt;=Premissas!$C$31,2,IF(L37&lt;=Premissas!$C$32,3,4)))</f>
        <v>2</v>
      </c>
      <c r="M38" s="66" t="n">
        <f aca="false">IF(M37&lt;=Premissas!$C$30,1,IF(M37&lt;=Premissas!$C$31,2,IF(M37&lt;=Premissas!$C$32,3,4)))</f>
        <v>3</v>
      </c>
      <c r="N38" s="66" t="n">
        <f aca="false">IF(N37&lt;=Premissas!$C$30,1,IF(N37&lt;=Premissas!$C$31,2,IF(N37&lt;=Premissas!$C$32,3,4)))</f>
        <v>3</v>
      </c>
      <c r="O38" s="66" t="n">
        <f aca="false">IF(O37&lt;=Premissas!$C$30,1,IF(O37&lt;=Premissas!$C$31,2,IF(O37&lt;=Premissas!$C$32,3,4)))</f>
        <v>3</v>
      </c>
      <c r="P38" s="66" t="n">
        <f aca="false">IF(P37&lt;=Premissas!$C$30,1,IF(P37&lt;=Premissas!$C$31,2,IF(P37&lt;=Premissas!$C$32,3,4)))</f>
        <v>3</v>
      </c>
      <c r="Q38" s="66" t="n">
        <f aca="false">IF(Q37&lt;=Premissas!$C$30,1,IF(Q37&lt;=Premissas!$C$31,2,IF(Q37&lt;=Premissas!$C$32,3,4)))</f>
        <v>3</v>
      </c>
      <c r="R38" s="66" t="n">
        <f aca="false">IF(R37&lt;=Premissas!$C$30,1,IF(R37&lt;=Premissas!$C$31,2,IF(R37&lt;=Premissas!$C$32,3,4)))</f>
        <v>3</v>
      </c>
      <c r="S38" s="66" t="n">
        <f aca="false">IF(S37&lt;=Premissas!$C$30,1,IF(S37&lt;=Premissas!$C$31,2,IF(S37&lt;=Premissas!$C$32,3,4)))</f>
        <v>3</v>
      </c>
      <c r="T38" s="66" t="n">
        <f aca="false">IF(T37&lt;=Premissas!$C$30,1,IF(T37&lt;=Premissas!$C$31,2,IF(T37&lt;=Premissas!$C$32,3,4)))</f>
        <v>3</v>
      </c>
      <c r="U38" s="66" t="n">
        <f aca="false">IF(U37&lt;=Premissas!$C$30,1,IF(U37&lt;=Premissas!$C$31,2,IF(U37&lt;=Premissas!$C$32,3,4)))</f>
        <v>3</v>
      </c>
      <c r="V38" s="66" t="n">
        <f aca="false">IF(V37&lt;=Premissas!$C$30,1,IF(V37&lt;=Premissas!$C$31,2,IF(V37&lt;=Premissas!$C$32,3,4)))</f>
        <v>4</v>
      </c>
      <c r="W38" s="66" t="n">
        <f aca="false">IF(W37&lt;=Premissas!$C$30,1,IF(W37&lt;=Premissas!$C$31,2,IF(W37&lt;=Premissas!$C$32,3,4)))</f>
        <v>4</v>
      </c>
      <c r="X38" s="66" t="n">
        <f aca="false">IF(X37&lt;=Premissas!$C$30,1,IF(X37&lt;=Premissas!$C$31,2,IF(X37&lt;=Premissas!$C$32,3,4)))</f>
        <v>4</v>
      </c>
      <c r="Y38" s="66" t="n">
        <f aca="false">IF(Y37&lt;=Premissas!$C$30,1,IF(Y37&lt;=Premissas!$C$31,2,IF(Y37&lt;=Premissas!$C$32,3,4)))</f>
        <v>4</v>
      </c>
      <c r="Z38" s="66" t="n">
        <f aca="false">IF(Z37&lt;=Premissas!$C$30,1,IF(Z37&lt;=Premissas!$C$31,2,IF(Z37&lt;=Premissas!$C$32,3,4)))</f>
        <v>4</v>
      </c>
      <c r="AA38" s="66" t="n">
        <f aca="false">IF(AA37&lt;=Premissas!$C$30,1,IF(AA37&lt;=Premissas!$C$31,2,IF(AA37&lt;=Premissas!$C$32,3,4)))</f>
        <v>4</v>
      </c>
    </row>
    <row r="39" customFormat="false" ht="15" hidden="false" customHeight="false" outlineLevel="0" collapsed="false">
      <c r="B39" s="6" t="s">
        <v>371</v>
      </c>
      <c r="D39" s="38" t="n">
        <f aca="false">INDEX($C$29:$F$29,D38)</f>
        <v>0</v>
      </c>
      <c r="E39" s="38" t="n">
        <f aca="false">INDEX($C$29:$F$29,E38)</f>
        <v>0</v>
      </c>
      <c r="F39" s="38" t="n">
        <f aca="false">INDEX($C$29:$F$29,F38)</f>
        <v>0</v>
      </c>
      <c r="G39" s="38" t="n">
        <f aca="false">INDEX($C$29:$F$29,G38)</f>
        <v>2600</v>
      </c>
      <c r="H39" s="38" t="n">
        <f aca="false">INDEX($C$29:$F$29,H38)</f>
        <v>2600</v>
      </c>
      <c r="I39" s="38" t="n">
        <f aca="false">INDEX($C$29:$F$29,I38)</f>
        <v>2600</v>
      </c>
      <c r="J39" s="38" t="n">
        <f aca="false">INDEX($C$29:$F$29,J38)</f>
        <v>2600</v>
      </c>
      <c r="K39" s="38" t="n">
        <f aca="false">INDEX($C$29:$F$29,K38)</f>
        <v>2600</v>
      </c>
      <c r="L39" s="38" t="n">
        <f aca="false">INDEX($C$29:$F$29,L38)</f>
        <v>2600</v>
      </c>
      <c r="M39" s="38" t="n">
        <f aca="false">INDEX($C$29:$F$29,M38)</f>
        <v>7150</v>
      </c>
      <c r="N39" s="38" t="n">
        <f aca="false">INDEX($C$29:$F$29,N38)</f>
        <v>7150</v>
      </c>
      <c r="O39" s="38" t="n">
        <f aca="false">INDEX($C$29:$F$29,O38)</f>
        <v>7150</v>
      </c>
      <c r="P39" s="38" t="n">
        <f aca="false">INDEX($C$29:$F$29,P38)</f>
        <v>7150</v>
      </c>
      <c r="Q39" s="38" t="n">
        <f aca="false">INDEX($C$29:$F$29,Q38)</f>
        <v>7150</v>
      </c>
      <c r="R39" s="38" t="n">
        <f aca="false">INDEX($C$29:$F$29,R38)</f>
        <v>7150</v>
      </c>
      <c r="S39" s="38" t="n">
        <f aca="false">INDEX($C$29:$F$29,S38)</f>
        <v>7150</v>
      </c>
      <c r="T39" s="38" t="n">
        <f aca="false">INDEX($C$29:$F$29,T38)</f>
        <v>7150</v>
      </c>
      <c r="U39" s="38" t="n">
        <f aca="false">INDEX($C$29:$F$29,U38)</f>
        <v>7150</v>
      </c>
      <c r="V39" s="38" t="n">
        <f aca="false">INDEX($C$29:$F$29,V38)</f>
        <v>9750</v>
      </c>
      <c r="W39" s="38" t="n">
        <f aca="false">INDEX($C$29:$F$29,W38)</f>
        <v>9750</v>
      </c>
      <c r="X39" s="38" t="n">
        <f aca="false">INDEX($C$29:$F$29,X38)</f>
        <v>9750</v>
      </c>
      <c r="Y39" s="38" t="n">
        <f aca="false">INDEX($C$29:$F$29,Y38)</f>
        <v>9750</v>
      </c>
      <c r="Z39" s="38" t="n">
        <f aca="false">INDEX($C$29:$F$29,Z38)</f>
        <v>9750</v>
      </c>
      <c r="AA39" s="38" t="n">
        <f aca="false">INDEX($C$29:$F$29,AA38)</f>
        <v>9750</v>
      </c>
      <c r="AB39" s="46" t="n">
        <f aca="false">SUM(D39:O39)</f>
        <v>37050</v>
      </c>
      <c r="AC39" s="46" t="n">
        <f aca="false">SUM(P39:AA39)</f>
        <v>101400</v>
      </c>
      <c r="AD39" s="46" t="n">
        <f aca="false">SUM(D39:AA39)</f>
        <v>138450</v>
      </c>
    </row>
    <row r="40" customFormat="false" ht="15" hidden="false" customHeight="false" outlineLevel="0" collapsed="false">
      <c r="B40" s="6" t="s">
        <v>92</v>
      </c>
      <c r="D40" s="38" t="n">
        <f aca="false">INDEX($C$28:$F$28,D38)</f>
        <v>2500</v>
      </c>
      <c r="E40" s="38" t="n">
        <f aca="false">INDEX($C$28:$F$28,E38)</f>
        <v>2500</v>
      </c>
      <c r="F40" s="38" t="n">
        <f aca="false">INDEX($C$28:$F$28,F38)</f>
        <v>2500</v>
      </c>
      <c r="G40" s="38" t="n">
        <f aca="false">INDEX($C$28:$F$28,G38)</f>
        <v>4400</v>
      </c>
      <c r="H40" s="38" t="n">
        <f aca="false">INDEX($C$28:$F$28,H38)</f>
        <v>4400</v>
      </c>
      <c r="I40" s="38" t="n">
        <f aca="false">INDEX($C$28:$F$28,I38)</f>
        <v>4400</v>
      </c>
      <c r="J40" s="38" t="n">
        <f aca="false">INDEX($C$28:$F$28,J38)</f>
        <v>4400</v>
      </c>
      <c r="K40" s="38" t="n">
        <f aca="false">INDEX($C$28:$F$28,K38)</f>
        <v>4400</v>
      </c>
      <c r="L40" s="38" t="n">
        <f aca="false">INDEX($C$28:$F$28,L38)</f>
        <v>4400</v>
      </c>
      <c r="M40" s="38" t="n">
        <f aca="false">INDEX($C$28:$F$28,M38)</f>
        <v>6850</v>
      </c>
      <c r="N40" s="38" t="n">
        <f aca="false">INDEX($C$28:$F$28,N38)</f>
        <v>6850</v>
      </c>
      <c r="O40" s="38" t="n">
        <f aca="false">INDEX($C$28:$F$28,O38)</f>
        <v>6850</v>
      </c>
      <c r="P40" s="38" t="n">
        <f aca="false">INDEX($C$28:$F$28,P38)</f>
        <v>6850</v>
      </c>
      <c r="Q40" s="38" t="n">
        <f aca="false">INDEX($C$28:$F$28,Q38)</f>
        <v>6850</v>
      </c>
      <c r="R40" s="38" t="n">
        <f aca="false">INDEX($C$28:$F$28,R38)</f>
        <v>6850</v>
      </c>
      <c r="S40" s="38" t="n">
        <f aca="false">INDEX($C$28:$F$28,S38)</f>
        <v>6850</v>
      </c>
      <c r="T40" s="38" t="n">
        <f aca="false">INDEX($C$28:$F$28,T38)</f>
        <v>6850</v>
      </c>
      <c r="U40" s="38" t="n">
        <f aca="false">INDEX($C$28:$F$28,U38)</f>
        <v>6850</v>
      </c>
      <c r="V40" s="38" t="n">
        <f aca="false">INDEX($C$28:$F$28,V38)</f>
        <v>9250</v>
      </c>
      <c r="W40" s="38" t="n">
        <f aca="false">INDEX($C$28:$F$28,W38)</f>
        <v>9250</v>
      </c>
      <c r="X40" s="38" t="n">
        <f aca="false">INDEX($C$28:$F$28,X38)</f>
        <v>9250</v>
      </c>
      <c r="Y40" s="38" t="n">
        <f aca="false">INDEX($C$28:$F$28,Y38)</f>
        <v>9250</v>
      </c>
      <c r="Z40" s="38" t="n">
        <f aca="false">INDEX($C$28:$F$28,Z38)</f>
        <v>9250</v>
      </c>
      <c r="AA40" s="38" t="n">
        <f aca="false">INDEX($C$28:$F$28,AA38)</f>
        <v>9250</v>
      </c>
      <c r="AB40" s="46" t="n">
        <f aca="false">SUM(D40:O40)</f>
        <v>54450</v>
      </c>
      <c r="AC40" s="46" t="n">
        <f aca="false">SUM(P40:AA40)</f>
        <v>96600</v>
      </c>
      <c r="AD40" s="46" t="n">
        <f aca="false">SUM(D40:AA40)</f>
        <v>151050</v>
      </c>
    </row>
    <row r="41" customFormat="false" ht="15" hidden="false" customHeight="false" outlineLevel="0" collapsed="false">
      <c r="B41" s="6" t="s">
        <v>378</v>
      </c>
      <c r="D41" s="38" t="n">
        <f aca="false">INDEX($C$33:$F$33,D38)</f>
        <v>101.666666666667</v>
      </c>
      <c r="E41" s="38" t="n">
        <f aca="false">INDEX($C$33:$F$33,E38)</f>
        <v>101.666666666667</v>
      </c>
      <c r="F41" s="38" t="n">
        <f aca="false">INDEX($C$33:$F$33,F38)</f>
        <v>101.666666666667</v>
      </c>
      <c r="G41" s="38" t="n">
        <f aca="false">INDEX($C$33:$F$33,G38)</f>
        <v>101.666666666667</v>
      </c>
      <c r="H41" s="38" t="n">
        <f aca="false">INDEX($C$33:$F$33,H38)</f>
        <v>101.666666666667</v>
      </c>
      <c r="I41" s="38" t="n">
        <f aca="false">INDEX($C$33:$F$33,I38)</f>
        <v>101.666666666667</v>
      </c>
      <c r="J41" s="38" t="n">
        <f aca="false">INDEX($C$33:$F$33,J38)</f>
        <v>101.666666666667</v>
      </c>
      <c r="K41" s="38" t="n">
        <f aca="false">INDEX($C$33:$F$33,K38)</f>
        <v>101.666666666667</v>
      </c>
      <c r="L41" s="38" t="n">
        <f aca="false">INDEX($C$33:$F$33,L38)</f>
        <v>101.666666666667</v>
      </c>
      <c r="M41" s="38" t="n">
        <f aca="false">INDEX($C$33:$F$33,M38)</f>
        <v>101.666666666667</v>
      </c>
      <c r="N41" s="38" t="n">
        <f aca="false">INDEX($C$33:$F$33,N38)</f>
        <v>101.666666666667</v>
      </c>
      <c r="O41" s="38" t="n">
        <f aca="false">INDEX($C$33:$F$33,O38)</f>
        <v>101.666666666667</v>
      </c>
      <c r="P41" s="38" t="n">
        <f aca="false">INDEX($C$33:$F$33,P38)</f>
        <v>101.666666666667</v>
      </c>
      <c r="Q41" s="38" t="n">
        <f aca="false">INDEX($C$33:$F$33,Q38)</f>
        <v>101.666666666667</v>
      </c>
      <c r="R41" s="38" t="n">
        <f aca="false">INDEX($C$33:$F$33,R38)</f>
        <v>101.666666666667</v>
      </c>
      <c r="S41" s="38" t="n">
        <f aca="false">INDEX($C$33:$F$33,S38)</f>
        <v>101.666666666667</v>
      </c>
      <c r="T41" s="38" t="n">
        <f aca="false">INDEX($C$33:$F$33,T38)</f>
        <v>101.666666666667</v>
      </c>
      <c r="U41" s="38" t="n">
        <f aca="false">INDEX($C$33:$F$33,U38)</f>
        <v>101.666666666667</v>
      </c>
      <c r="V41" s="38" t="n">
        <f aca="false">INDEX($C$33:$F$33,V38)</f>
        <v>101.666666666667</v>
      </c>
      <c r="W41" s="38" t="n">
        <f aca="false">INDEX($C$33:$F$33,W38)</f>
        <v>101.666666666667</v>
      </c>
      <c r="X41" s="38" t="n">
        <f aca="false">INDEX($C$33:$F$33,X38)</f>
        <v>101.666666666667</v>
      </c>
      <c r="Y41" s="38" t="n">
        <f aca="false">INDEX($C$33:$F$33,Y38)</f>
        <v>101.666666666667</v>
      </c>
      <c r="Z41" s="38" t="n">
        <f aca="false">INDEX($C$33:$F$33,Z38)</f>
        <v>101.666666666667</v>
      </c>
      <c r="AA41" s="38" t="n">
        <f aca="false">INDEX($C$33:$F$33,AA38)</f>
        <v>101.666666666667</v>
      </c>
      <c r="AB41" s="46" t="n">
        <f aca="false">SUM(D41:O41)</f>
        <v>1220</v>
      </c>
      <c r="AC41" s="46" t="n">
        <f aca="false">SUM(P41:AA41)</f>
        <v>1220</v>
      </c>
      <c r="AD41" s="46" t="n">
        <f aca="false">SUM(D41:AA41)</f>
        <v>2440</v>
      </c>
    </row>
    <row r="42" customFormat="false" ht="15" hidden="false" customHeight="false" outlineLevel="0" collapsed="false">
      <c r="B42" s="56" t="s">
        <v>379</v>
      </c>
      <c r="C42" s="57"/>
      <c r="D42" s="65" t="n">
        <f aca="false">D39+D40+D41</f>
        <v>2601.66666666667</v>
      </c>
      <c r="E42" s="65" t="n">
        <f aca="false">E39+E40+E41</f>
        <v>2601.66666666667</v>
      </c>
      <c r="F42" s="65" t="n">
        <f aca="false">F39+F40+F41</f>
        <v>2601.66666666667</v>
      </c>
      <c r="G42" s="65" t="n">
        <f aca="false">G39+G40+G41</f>
        <v>7101.66666666667</v>
      </c>
      <c r="H42" s="65" t="n">
        <f aca="false">H39+H40+H41</f>
        <v>7101.66666666667</v>
      </c>
      <c r="I42" s="65" t="n">
        <f aca="false">I39+I40+I41</f>
        <v>7101.66666666667</v>
      </c>
      <c r="J42" s="65" t="n">
        <f aca="false">J39+J40+J41</f>
        <v>7101.66666666667</v>
      </c>
      <c r="K42" s="65" t="n">
        <f aca="false">K39+K40+K41</f>
        <v>7101.66666666667</v>
      </c>
      <c r="L42" s="65" t="n">
        <f aca="false">L39+L40+L41</f>
        <v>7101.66666666667</v>
      </c>
      <c r="M42" s="65" t="n">
        <f aca="false">M39+M40+M41</f>
        <v>14101.6666666667</v>
      </c>
      <c r="N42" s="65" t="n">
        <f aca="false">N39+N40+N41</f>
        <v>14101.6666666667</v>
      </c>
      <c r="O42" s="65" t="n">
        <f aca="false">O39+O40+O41</f>
        <v>14101.6666666667</v>
      </c>
      <c r="P42" s="65" t="n">
        <f aca="false">P39+P40+P41</f>
        <v>14101.6666666667</v>
      </c>
      <c r="Q42" s="65" t="n">
        <f aca="false">Q39+Q40+Q41</f>
        <v>14101.6666666667</v>
      </c>
      <c r="R42" s="65" t="n">
        <f aca="false">R39+R40+R41</f>
        <v>14101.6666666667</v>
      </c>
      <c r="S42" s="65" t="n">
        <f aca="false">S39+S40+S41</f>
        <v>14101.6666666667</v>
      </c>
      <c r="T42" s="65" t="n">
        <f aca="false">T39+T40+T41</f>
        <v>14101.6666666667</v>
      </c>
      <c r="U42" s="65" t="n">
        <f aca="false">U39+U40+U41</f>
        <v>14101.6666666667</v>
      </c>
      <c r="V42" s="65" t="n">
        <f aca="false">V39+V40+V41</f>
        <v>19101.6666666667</v>
      </c>
      <c r="W42" s="65" t="n">
        <f aca="false">W39+W40+W41</f>
        <v>19101.6666666667</v>
      </c>
      <c r="X42" s="65" t="n">
        <f aca="false">X39+X40+X41</f>
        <v>19101.6666666667</v>
      </c>
      <c r="Y42" s="65" t="n">
        <f aca="false">Y39+Y40+Y41</f>
        <v>19101.6666666667</v>
      </c>
      <c r="Z42" s="65" t="n">
        <f aca="false">Z39+Z40+Z41</f>
        <v>19101.6666666667</v>
      </c>
      <c r="AA42" s="65" t="n">
        <f aca="false">AA39+AA40+AA41</f>
        <v>19101.6666666667</v>
      </c>
      <c r="AB42" s="65" t="n">
        <f aca="false">SUM(D42:O42)</f>
        <v>92720</v>
      </c>
      <c r="AC42" s="65" t="n">
        <f aca="false">SUM(P42:AA42)</f>
        <v>199220</v>
      </c>
      <c r="AD42" s="65" t="n">
        <f aca="false">SUM(D42:AA42)</f>
        <v>291940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B6E0"/>
    <pageSetUpPr fitToPage="true"/>
  </sheetPr>
  <dimension ref="B2:AD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0"/>
    <col collapsed="false" customWidth="true" hidden="false" outlineLevel="0" max="4" min="3" style="0" width="11.5"/>
    <col collapsed="false" customWidth="true" hidden="false" outlineLevel="0" max="5" min="5" style="0" width="14"/>
    <col collapsed="false" customWidth="true" hidden="false" outlineLevel="0" max="27" min="6" style="0" width="11.5"/>
    <col collapsed="false" customWidth="true" hidden="false" outlineLevel="0" max="30" min="28" style="0" width="13.5"/>
  </cols>
  <sheetData>
    <row r="2" customFormat="false" ht="21.75" hidden="false" customHeight="true" outlineLevel="0" collapsed="false">
      <c r="B2" s="1" t="s">
        <v>380</v>
      </c>
    </row>
    <row r="3" customFormat="false" ht="15" hidden="false" customHeight="false" outlineLevel="0" collapsed="false">
      <c r="B3" s="2" t="s">
        <v>381</v>
      </c>
    </row>
    <row r="5" customFormat="false" ht="30" hidden="false" customHeight="true" outlineLevel="0" collapsed="false">
      <c r="B5" s="30" t="s">
        <v>382</v>
      </c>
      <c r="C5" s="30" t="s">
        <v>383</v>
      </c>
      <c r="D5" s="30" t="s">
        <v>384</v>
      </c>
      <c r="E5" s="30" t="s">
        <v>385</v>
      </c>
    </row>
    <row r="6" customFormat="false" ht="15" hidden="false" customHeight="false" outlineLevel="0" collapsed="false">
      <c r="B6" s="6" t="s">
        <v>386</v>
      </c>
      <c r="C6" s="37" t="n">
        <f aca="false">Premissas!$C$37*Premissas!$C$14</f>
        <v>150</v>
      </c>
      <c r="D6" s="37" t="n">
        <f aca="false">C6/Premissas!$C$14</f>
        <v>0.5</v>
      </c>
      <c r="E6" s="69" t="s">
        <v>387</v>
      </c>
    </row>
    <row r="7" customFormat="false" ht="15" hidden="false" customHeight="false" outlineLevel="0" collapsed="false">
      <c r="B7" s="6" t="s">
        <v>388</v>
      </c>
      <c r="C7" s="37" t="n">
        <f aca="false">Premissas!$C$17*IFERROR(Tributação!AC20/Tributação!AC17,0)</f>
        <v>1458.65189120743</v>
      </c>
      <c r="D7" s="37" t="n">
        <f aca="false">C7/Premissas!$C$14</f>
        <v>4.86217297069144</v>
      </c>
      <c r="E7" s="69" t="s">
        <v>389</v>
      </c>
    </row>
    <row r="8" customFormat="false" ht="15" hidden="false" customHeight="false" outlineLevel="0" collapsed="false">
      <c r="B8" s="6" t="s">
        <v>390</v>
      </c>
      <c r="C8" s="37" t="n">
        <f aca="false">Premissas!$C$17*Premissas!$C$38</f>
        <v>375</v>
      </c>
      <c r="D8" s="37" t="n">
        <f aca="false">C8/Premissas!$C$14</f>
        <v>1.25</v>
      </c>
      <c r="E8" s="69" t="s">
        <v>91</v>
      </c>
    </row>
    <row r="9" customFormat="false" ht="15" hidden="false" customHeight="false" outlineLevel="0" collapsed="false">
      <c r="B9" s="6" t="s">
        <v>391</v>
      </c>
      <c r="C9" s="37" t="n">
        <f aca="false">Premissas!$C$39</f>
        <v>3</v>
      </c>
      <c r="D9" s="37" t="n">
        <f aca="false">C9/Premissas!$C$14</f>
        <v>0.01</v>
      </c>
      <c r="E9" s="69" t="s">
        <v>392</v>
      </c>
    </row>
    <row r="10" customFormat="false" ht="15" hidden="false" customHeight="false" outlineLevel="0" collapsed="false">
      <c r="B10" s="6" t="s">
        <v>393</v>
      </c>
      <c r="C10" s="37" t="n">
        <f aca="false">Premissas!$C$17*Premissas!$C$40</f>
        <v>75</v>
      </c>
      <c r="D10" s="37" t="n">
        <f aca="false">C10/Premissas!$C$14</f>
        <v>0.25</v>
      </c>
      <c r="E10" s="69" t="s">
        <v>7</v>
      </c>
    </row>
    <row r="11" customFormat="false" ht="15" hidden="false" customHeight="false" outlineLevel="0" collapsed="false">
      <c r="B11" s="5" t="s">
        <v>394</v>
      </c>
      <c r="C11" s="71" t="n">
        <f aca="false">SUM(C6:C10)</f>
        <v>2061.65189120743</v>
      </c>
      <c r="D11" s="71" t="n">
        <f aca="false">SUM(D6:D10)</f>
        <v>6.87217297069144</v>
      </c>
    </row>
    <row r="12" customFormat="false" ht="15" hidden="false" customHeight="false" outlineLevel="0" collapsed="false">
      <c r="B12" s="6" t="s">
        <v>395</v>
      </c>
      <c r="C12" s="72" t="n">
        <f aca="false">Premissas!$C$17</f>
        <v>7500</v>
      </c>
      <c r="D12" s="72" t="n">
        <f aca="false">Premissas!$C$16</f>
        <v>25</v>
      </c>
    </row>
    <row r="13" customFormat="false" ht="15" hidden="false" customHeight="false" outlineLevel="0" collapsed="false">
      <c r="B13" s="5" t="s">
        <v>396</v>
      </c>
      <c r="C13" s="73" t="n">
        <f aca="false">C12-C11</f>
        <v>5438.34810879257</v>
      </c>
      <c r="D13" s="73" t="n">
        <f aca="false">D12-D11</f>
        <v>18.1278270293086</v>
      </c>
      <c r="E13" s="74" t="n">
        <f aca="false">C13/C12</f>
        <v>0.725113081172342</v>
      </c>
    </row>
    <row r="14" customFormat="false" ht="15" hidden="false" customHeight="false" outlineLevel="0" collapsed="false">
      <c r="B14" s="25" t="s">
        <v>397</v>
      </c>
    </row>
    <row r="16" customFormat="false" ht="15" hidden="false" customHeight="false" outlineLevel="0" collapsed="false">
      <c r="B16" s="8" t="s">
        <v>398</v>
      </c>
    </row>
    <row r="17" customFormat="false" ht="18" hidden="false" customHeight="true" outlineLevel="0" collapsed="false">
      <c r="B17" s="4" t="s">
        <v>316</v>
      </c>
      <c r="D17" s="30" t="s">
        <v>273</v>
      </c>
      <c r="E17" s="30" t="s">
        <v>274</v>
      </c>
      <c r="F17" s="30" t="s">
        <v>275</v>
      </c>
      <c r="G17" s="30" t="s">
        <v>276</v>
      </c>
      <c r="H17" s="30" t="s">
        <v>277</v>
      </c>
      <c r="I17" s="30" t="s">
        <v>278</v>
      </c>
      <c r="J17" s="30" t="s">
        <v>279</v>
      </c>
      <c r="K17" s="30" t="s">
        <v>280</v>
      </c>
      <c r="L17" s="30" t="s">
        <v>281</v>
      </c>
      <c r="M17" s="30" t="s">
        <v>282</v>
      </c>
      <c r="N17" s="30" t="s">
        <v>283</v>
      </c>
      <c r="O17" s="30" t="s">
        <v>284</v>
      </c>
      <c r="P17" s="30" t="s">
        <v>285</v>
      </c>
      <c r="Q17" s="30" t="s">
        <v>286</v>
      </c>
      <c r="R17" s="30" t="s">
        <v>287</v>
      </c>
      <c r="S17" s="30" t="s">
        <v>288</v>
      </c>
      <c r="T17" s="30" t="s">
        <v>289</v>
      </c>
      <c r="U17" s="30" t="s">
        <v>290</v>
      </c>
      <c r="V17" s="30" t="s">
        <v>291</v>
      </c>
      <c r="W17" s="30" t="s">
        <v>292</v>
      </c>
      <c r="X17" s="30" t="s">
        <v>293</v>
      </c>
      <c r="Y17" s="30" t="s">
        <v>294</v>
      </c>
      <c r="Z17" s="30" t="s">
        <v>295</v>
      </c>
      <c r="AA17" s="30" t="s">
        <v>296</v>
      </c>
      <c r="AB17" s="51" t="s">
        <v>297</v>
      </c>
      <c r="AC17" s="51" t="s">
        <v>298</v>
      </c>
      <c r="AD17" s="51" t="s">
        <v>299</v>
      </c>
    </row>
    <row r="18" customFormat="false" ht="15" hidden="false" customHeight="false" outlineLevel="0" collapsed="false">
      <c r="B18" s="6" t="s">
        <v>399</v>
      </c>
      <c r="D18" s="38" t="n">
        <f aca="false">'Receita e Clientes'!D13*Premissas!$C$37</f>
        <v>450</v>
      </c>
      <c r="E18" s="38" t="n">
        <f aca="false">'Receita e Clientes'!E13*Premissas!$C$37</f>
        <v>450</v>
      </c>
      <c r="F18" s="38" t="n">
        <f aca="false">'Receita e Clientes'!F13*Premissas!$C$37</f>
        <v>450</v>
      </c>
      <c r="G18" s="38" t="n">
        <f aca="false">'Receita e Clientes'!G13*Premissas!$C$37</f>
        <v>450</v>
      </c>
      <c r="H18" s="38" t="n">
        <f aca="false">'Receita e Clientes'!H13*Premissas!$C$37</f>
        <v>750</v>
      </c>
      <c r="I18" s="38" t="n">
        <f aca="false">'Receita e Clientes'!I13*Premissas!$C$37</f>
        <v>900</v>
      </c>
      <c r="J18" s="38" t="n">
        <f aca="false">'Receita e Clientes'!J13*Premissas!$C$37</f>
        <v>1050</v>
      </c>
      <c r="K18" s="38" t="n">
        <f aca="false">'Receita e Clientes'!K13*Premissas!$C$37</f>
        <v>1350</v>
      </c>
      <c r="L18" s="38" t="n">
        <f aca="false">'Receita e Clientes'!L13*Premissas!$C$37</f>
        <v>1500</v>
      </c>
      <c r="M18" s="38" t="n">
        <f aca="false">'Receita e Clientes'!M13*Premissas!$C$37</f>
        <v>1800</v>
      </c>
      <c r="N18" s="38" t="n">
        <f aca="false">'Receita e Clientes'!N13*Premissas!$C$37</f>
        <v>2100</v>
      </c>
      <c r="O18" s="38" t="n">
        <f aca="false">'Receita e Clientes'!O13*Premissas!$C$37</f>
        <v>2400</v>
      </c>
      <c r="P18" s="38" t="n">
        <f aca="false">'Receita e Clientes'!P13*Premissas!$C$37</f>
        <v>2700</v>
      </c>
      <c r="Q18" s="38" t="n">
        <f aca="false">'Receita e Clientes'!Q13*Premissas!$C$37</f>
        <v>3000</v>
      </c>
      <c r="R18" s="38" t="n">
        <f aca="false">'Receita e Clientes'!R13*Premissas!$C$37</f>
        <v>3300</v>
      </c>
      <c r="S18" s="38" t="n">
        <f aca="false">'Receita e Clientes'!S13*Premissas!$C$37</f>
        <v>3600</v>
      </c>
      <c r="T18" s="38" t="n">
        <f aca="false">'Receita e Clientes'!T13*Premissas!$C$37</f>
        <v>3900</v>
      </c>
      <c r="U18" s="38" t="n">
        <f aca="false">'Receita e Clientes'!U13*Premissas!$C$37</f>
        <v>4200</v>
      </c>
      <c r="V18" s="38" t="n">
        <f aca="false">'Receita e Clientes'!V13*Premissas!$C$37</f>
        <v>4500</v>
      </c>
      <c r="W18" s="38" t="n">
        <f aca="false">'Receita e Clientes'!W13*Premissas!$C$37</f>
        <v>4800</v>
      </c>
      <c r="X18" s="38" t="n">
        <f aca="false">'Receita e Clientes'!X13*Premissas!$C$37</f>
        <v>5100</v>
      </c>
      <c r="Y18" s="38" t="n">
        <f aca="false">'Receita e Clientes'!Y13*Premissas!$C$37</f>
        <v>5400</v>
      </c>
      <c r="Z18" s="38" t="n">
        <f aca="false">'Receita e Clientes'!Z13*Premissas!$C$37</f>
        <v>5700</v>
      </c>
      <c r="AA18" s="38" t="n">
        <f aca="false">'Receita e Clientes'!AA13*Premissas!$C$37</f>
        <v>6000</v>
      </c>
      <c r="AB18" s="46" t="n">
        <f aca="false">SUM(D18:O18)</f>
        <v>13650</v>
      </c>
      <c r="AC18" s="46" t="n">
        <f aca="false">SUM(P18:AA18)</f>
        <v>52200</v>
      </c>
      <c r="AD18" s="46" t="n">
        <f aca="false">SUM(D18:AA18)</f>
        <v>65850</v>
      </c>
    </row>
    <row r="19" customFormat="false" ht="15" hidden="false" customHeight="false" outlineLevel="0" collapsed="false">
      <c r="B19" s="6" t="s">
        <v>400</v>
      </c>
      <c r="D19" s="13" t="n">
        <f aca="false">Tributação!D20</f>
        <v>0</v>
      </c>
      <c r="E19" s="13" t="n">
        <f aca="false">Tributação!E20</f>
        <v>0</v>
      </c>
      <c r="F19" s="13" t="n">
        <f aca="false">Tributação!F20</f>
        <v>0</v>
      </c>
      <c r="G19" s="13" t="n">
        <f aca="false">Tributação!G20</f>
        <v>3487.5</v>
      </c>
      <c r="H19" s="13" t="n">
        <f aca="false">Tributação!H20</f>
        <v>5812.5</v>
      </c>
      <c r="I19" s="13" t="n">
        <f aca="false">Tributação!I20</f>
        <v>6975</v>
      </c>
      <c r="J19" s="13" t="n">
        <f aca="false">Tributação!J20</f>
        <v>8325</v>
      </c>
      <c r="K19" s="13" t="n">
        <f aca="false">Tributação!K20</f>
        <v>11025</v>
      </c>
      <c r="L19" s="13" t="n">
        <f aca="false">Tributação!L20</f>
        <v>12500</v>
      </c>
      <c r="M19" s="13" t="n">
        <f aca="false">Tributação!M20</f>
        <v>15322.5</v>
      </c>
      <c r="N19" s="13" t="n">
        <f aca="false">Tributação!N20</f>
        <v>18253.8461538462</v>
      </c>
      <c r="O19" s="13" t="n">
        <f aca="false">Tributação!O20</f>
        <v>21200</v>
      </c>
      <c r="P19" s="13" t="n">
        <f aca="false">Tributação!P20</f>
        <v>24151.8292682927</v>
      </c>
      <c r="Q19" s="13" t="n">
        <f aca="false">Tributação!Q20</f>
        <v>27330</v>
      </c>
      <c r="R19" s="13" t="n">
        <f aca="false">Tributação!R20</f>
        <v>30690</v>
      </c>
      <c r="S19" s="13" t="n">
        <f aca="false">Tributação!S20</f>
        <v>34009.8591549296</v>
      </c>
      <c r="T19" s="13" t="n">
        <f aca="false">Tributação!T20</f>
        <v>37247.3926380368</v>
      </c>
      <c r="U19" s="13" t="n">
        <f aca="false">Tributação!U20</f>
        <v>40447.8260869565</v>
      </c>
      <c r="V19" s="13" t="n">
        <f aca="false">Tributação!V20</f>
        <v>43634.7087378641</v>
      </c>
      <c r="W19" s="13" t="n">
        <f aca="false">Tributação!W20</f>
        <v>46810.480349345</v>
      </c>
      <c r="X19" s="13" t="n">
        <f aca="false">Tributação!X20</f>
        <v>50271.4285714286</v>
      </c>
      <c r="Y19" s="13" t="n">
        <f aca="false">Tributação!Y20</f>
        <v>54000</v>
      </c>
      <c r="Z19" s="13" t="n">
        <f aca="false">Tributação!Z20</f>
        <v>57684</v>
      </c>
      <c r="AA19" s="13" t="n">
        <f aca="false">Tributação!AA20</f>
        <v>61333.3333333333</v>
      </c>
      <c r="AB19" s="46" t="n">
        <f aca="false">SUM(D19:O19)</f>
        <v>102901.346153846</v>
      </c>
      <c r="AC19" s="46" t="n">
        <f aca="false">SUM(P19:AA19)</f>
        <v>507610.858140187</v>
      </c>
      <c r="AD19" s="46" t="n">
        <f aca="false">SUM(D19:AA19)</f>
        <v>610512.204294033</v>
      </c>
    </row>
    <row r="20" customFormat="false" ht="15" hidden="false" customHeight="false" outlineLevel="0" collapsed="false">
      <c r="B20" s="6" t="s">
        <v>401</v>
      </c>
      <c r="D20" s="38" t="n">
        <f aca="false">'Receita e Clientes'!D15*Premissas!$C$38</f>
        <v>0</v>
      </c>
      <c r="E20" s="38" t="n">
        <f aca="false">'Receita e Clientes'!E15*Premissas!$C$38</f>
        <v>0</v>
      </c>
      <c r="F20" s="38" t="n">
        <f aca="false">'Receita e Clientes'!F15*Premissas!$C$38</f>
        <v>0</v>
      </c>
      <c r="G20" s="38" t="n">
        <f aca="false">'Receita e Clientes'!G15*Premissas!$C$38</f>
        <v>1125</v>
      </c>
      <c r="H20" s="38" t="n">
        <f aca="false">'Receita e Clientes'!H15*Premissas!$C$38</f>
        <v>1875</v>
      </c>
      <c r="I20" s="38" t="n">
        <f aca="false">'Receita e Clientes'!I15*Premissas!$C$38</f>
        <v>2250</v>
      </c>
      <c r="J20" s="38" t="n">
        <f aca="false">'Receita e Clientes'!J15*Premissas!$C$38</f>
        <v>2625</v>
      </c>
      <c r="K20" s="38" t="n">
        <f aca="false">'Receita e Clientes'!K15*Premissas!$C$38</f>
        <v>3375</v>
      </c>
      <c r="L20" s="38" t="n">
        <f aca="false">'Receita e Clientes'!L15*Premissas!$C$38</f>
        <v>3750</v>
      </c>
      <c r="M20" s="38" t="n">
        <f aca="false">'Receita e Clientes'!M15*Premissas!$C$38</f>
        <v>4500</v>
      </c>
      <c r="N20" s="38" t="n">
        <f aca="false">'Receita e Clientes'!N15*Premissas!$C$38</f>
        <v>5250</v>
      </c>
      <c r="O20" s="38" t="n">
        <f aca="false">'Receita e Clientes'!O15*Premissas!$C$38</f>
        <v>6000</v>
      </c>
      <c r="P20" s="38" t="n">
        <f aca="false">'Receita e Clientes'!P15*Premissas!$C$38</f>
        <v>6750</v>
      </c>
      <c r="Q20" s="38" t="n">
        <f aca="false">'Receita e Clientes'!Q15*Premissas!$C$38</f>
        <v>7500</v>
      </c>
      <c r="R20" s="38" t="n">
        <f aca="false">'Receita e Clientes'!R15*Premissas!$C$38</f>
        <v>8250</v>
      </c>
      <c r="S20" s="38" t="n">
        <f aca="false">'Receita e Clientes'!S15*Premissas!$C$38</f>
        <v>9000</v>
      </c>
      <c r="T20" s="38" t="n">
        <f aca="false">'Receita e Clientes'!T15*Premissas!$C$38</f>
        <v>9750</v>
      </c>
      <c r="U20" s="38" t="n">
        <f aca="false">'Receita e Clientes'!U15*Premissas!$C$38</f>
        <v>10500</v>
      </c>
      <c r="V20" s="38" t="n">
        <f aca="false">'Receita e Clientes'!V15*Premissas!$C$38</f>
        <v>11250</v>
      </c>
      <c r="W20" s="38" t="n">
        <f aca="false">'Receita e Clientes'!W15*Premissas!$C$38</f>
        <v>12000</v>
      </c>
      <c r="X20" s="38" t="n">
        <f aca="false">'Receita e Clientes'!X15*Premissas!$C$38</f>
        <v>12750</v>
      </c>
      <c r="Y20" s="38" t="n">
        <f aca="false">'Receita e Clientes'!Y15*Premissas!$C$38</f>
        <v>13500</v>
      </c>
      <c r="Z20" s="38" t="n">
        <f aca="false">'Receita e Clientes'!Z15*Premissas!$C$38</f>
        <v>14250</v>
      </c>
      <c r="AA20" s="38" t="n">
        <f aca="false">'Receita e Clientes'!AA15*Premissas!$C$38</f>
        <v>15000</v>
      </c>
      <c r="AB20" s="46" t="n">
        <f aca="false">SUM(D20:O20)</f>
        <v>30750</v>
      </c>
      <c r="AC20" s="46" t="n">
        <f aca="false">SUM(P20:AA20)</f>
        <v>130500</v>
      </c>
      <c r="AD20" s="46" t="n">
        <f aca="false">SUM(D20:AA20)</f>
        <v>161250</v>
      </c>
    </row>
    <row r="21" customFormat="false" ht="15" hidden="false" customHeight="false" outlineLevel="0" collapsed="false">
      <c r="B21" s="6" t="s">
        <v>402</v>
      </c>
      <c r="D21" s="38" t="n">
        <f aca="false">'Receita e Clientes'!D11*Premissas!$C$39</f>
        <v>0</v>
      </c>
      <c r="E21" s="38" t="n">
        <f aca="false">'Receita e Clientes'!E11*Premissas!$C$39</f>
        <v>0</v>
      </c>
      <c r="F21" s="38" t="n">
        <f aca="false">'Receita e Clientes'!F11*Premissas!$C$39</f>
        <v>0</v>
      </c>
      <c r="G21" s="38" t="n">
        <f aca="false">'Receita e Clientes'!G11*Premissas!$C$39</f>
        <v>9</v>
      </c>
      <c r="H21" s="38" t="n">
        <f aca="false">'Receita e Clientes'!H11*Premissas!$C$39</f>
        <v>15</v>
      </c>
      <c r="I21" s="38" t="n">
        <f aca="false">'Receita e Clientes'!I11*Premissas!$C$39</f>
        <v>18</v>
      </c>
      <c r="J21" s="38" t="n">
        <f aca="false">'Receita e Clientes'!J11*Premissas!$C$39</f>
        <v>21</v>
      </c>
      <c r="K21" s="38" t="n">
        <f aca="false">'Receita e Clientes'!K11*Premissas!$C$39</f>
        <v>27</v>
      </c>
      <c r="L21" s="38" t="n">
        <f aca="false">'Receita e Clientes'!L11*Premissas!$C$39</f>
        <v>30</v>
      </c>
      <c r="M21" s="38" t="n">
        <f aca="false">'Receita e Clientes'!M11*Premissas!$C$39</f>
        <v>36</v>
      </c>
      <c r="N21" s="38" t="n">
        <f aca="false">'Receita e Clientes'!N11*Premissas!$C$39</f>
        <v>42</v>
      </c>
      <c r="O21" s="38" t="n">
        <f aca="false">'Receita e Clientes'!O11*Premissas!$C$39</f>
        <v>48</v>
      </c>
      <c r="P21" s="38" t="n">
        <f aca="false">'Receita e Clientes'!P11*Premissas!$C$39</f>
        <v>54</v>
      </c>
      <c r="Q21" s="38" t="n">
        <f aca="false">'Receita e Clientes'!Q11*Premissas!$C$39</f>
        <v>60</v>
      </c>
      <c r="R21" s="38" t="n">
        <f aca="false">'Receita e Clientes'!R11*Premissas!$C$39</f>
        <v>66</v>
      </c>
      <c r="S21" s="38" t="n">
        <f aca="false">'Receita e Clientes'!S11*Premissas!$C$39</f>
        <v>72</v>
      </c>
      <c r="T21" s="38" t="n">
        <f aca="false">'Receita e Clientes'!T11*Premissas!$C$39</f>
        <v>78</v>
      </c>
      <c r="U21" s="38" t="n">
        <f aca="false">'Receita e Clientes'!U11*Premissas!$C$39</f>
        <v>84</v>
      </c>
      <c r="V21" s="38" t="n">
        <f aca="false">'Receita e Clientes'!V11*Premissas!$C$39</f>
        <v>90</v>
      </c>
      <c r="W21" s="38" t="n">
        <f aca="false">'Receita e Clientes'!W11*Premissas!$C$39</f>
        <v>96</v>
      </c>
      <c r="X21" s="38" t="n">
        <f aca="false">'Receita e Clientes'!X11*Premissas!$C$39</f>
        <v>102</v>
      </c>
      <c r="Y21" s="38" t="n">
        <f aca="false">'Receita e Clientes'!Y11*Premissas!$C$39</f>
        <v>108</v>
      </c>
      <c r="Z21" s="38" t="n">
        <f aca="false">'Receita e Clientes'!Z11*Premissas!$C$39</f>
        <v>114</v>
      </c>
      <c r="AA21" s="38" t="n">
        <f aca="false">'Receita e Clientes'!AA11*Premissas!$C$39</f>
        <v>120</v>
      </c>
      <c r="AB21" s="46" t="n">
        <f aca="false">SUM(D21:O21)</f>
        <v>246</v>
      </c>
      <c r="AC21" s="46" t="n">
        <f aca="false">SUM(P21:AA21)</f>
        <v>1044</v>
      </c>
      <c r="AD21" s="46" t="n">
        <f aca="false">SUM(D21:AA21)</f>
        <v>1290</v>
      </c>
    </row>
    <row r="22" customFormat="false" ht="15" hidden="false" customHeight="false" outlineLevel="0" collapsed="false">
      <c r="B22" s="6" t="s">
        <v>403</v>
      </c>
      <c r="D22" s="38" t="n">
        <f aca="false">'Receita e Clientes'!D15*Premissas!$C$40</f>
        <v>0</v>
      </c>
      <c r="E22" s="38" t="n">
        <f aca="false">'Receita e Clientes'!E15*Premissas!$C$40</f>
        <v>0</v>
      </c>
      <c r="F22" s="38" t="n">
        <f aca="false">'Receita e Clientes'!F15*Premissas!$C$40</f>
        <v>0</v>
      </c>
      <c r="G22" s="38" t="n">
        <f aca="false">'Receita e Clientes'!G15*Premissas!$C$40</f>
        <v>225</v>
      </c>
      <c r="H22" s="38" t="n">
        <f aca="false">'Receita e Clientes'!H15*Premissas!$C$40</f>
        <v>375</v>
      </c>
      <c r="I22" s="38" t="n">
        <f aca="false">'Receita e Clientes'!I15*Premissas!$C$40</f>
        <v>450</v>
      </c>
      <c r="J22" s="38" t="n">
        <f aca="false">'Receita e Clientes'!J15*Premissas!$C$40</f>
        <v>525</v>
      </c>
      <c r="K22" s="38" t="n">
        <f aca="false">'Receita e Clientes'!K15*Premissas!$C$40</f>
        <v>675</v>
      </c>
      <c r="L22" s="38" t="n">
        <f aca="false">'Receita e Clientes'!L15*Premissas!$C$40</f>
        <v>750</v>
      </c>
      <c r="M22" s="38" t="n">
        <f aca="false">'Receita e Clientes'!M15*Premissas!$C$40</f>
        <v>900</v>
      </c>
      <c r="N22" s="38" t="n">
        <f aca="false">'Receita e Clientes'!N15*Premissas!$C$40</f>
        <v>1050</v>
      </c>
      <c r="O22" s="38" t="n">
        <f aca="false">'Receita e Clientes'!O15*Premissas!$C$40</f>
        <v>1200</v>
      </c>
      <c r="P22" s="38" t="n">
        <f aca="false">'Receita e Clientes'!P15*Premissas!$C$40</f>
        <v>1350</v>
      </c>
      <c r="Q22" s="38" t="n">
        <f aca="false">'Receita e Clientes'!Q15*Premissas!$C$40</f>
        <v>1500</v>
      </c>
      <c r="R22" s="38" t="n">
        <f aca="false">'Receita e Clientes'!R15*Premissas!$C$40</f>
        <v>1650</v>
      </c>
      <c r="S22" s="38" t="n">
        <f aca="false">'Receita e Clientes'!S15*Premissas!$C$40</f>
        <v>1800</v>
      </c>
      <c r="T22" s="38" t="n">
        <f aca="false">'Receita e Clientes'!T15*Premissas!$C$40</f>
        <v>1950</v>
      </c>
      <c r="U22" s="38" t="n">
        <f aca="false">'Receita e Clientes'!U15*Premissas!$C$40</f>
        <v>2100</v>
      </c>
      <c r="V22" s="38" t="n">
        <f aca="false">'Receita e Clientes'!V15*Premissas!$C$40</f>
        <v>2250</v>
      </c>
      <c r="W22" s="38" t="n">
        <f aca="false">'Receita e Clientes'!W15*Premissas!$C$40</f>
        <v>2400</v>
      </c>
      <c r="X22" s="38" t="n">
        <f aca="false">'Receita e Clientes'!X15*Premissas!$C$40</f>
        <v>2550</v>
      </c>
      <c r="Y22" s="38" t="n">
        <f aca="false">'Receita e Clientes'!Y15*Premissas!$C$40</f>
        <v>2700</v>
      </c>
      <c r="Z22" s="38" t="n">
        <f aca="false">'Receita e Clientes'!Z15*Premissas!$C$40</f>
        <v>2850</v>
      </c>
      <c r="AA22" s="38" t="n">
        <f aca="false">'Receita e Clientes'!AA15*Premissas!$C$40</f>
        <v>3000</v>
      </c>
      <c r="AB22" s="46" t="n">
        <f aca="false">SUM(D22:O22)</f>
        <v>6150</v>
      </c>
      <c r="AC22" s="46" t="n">
        <f aca="false">SUM(P22:AA22)</f>
        <v>26100</v>
      </c>
      <c r="AD22" s="46" t="n">
        <f aca="false">SUM(D22:AA22)</f>
        <v>32250</v>
      </c>
    </row>
    <row r="23" customFormat="false" ht="15" hidden="false" customHeight="false" outlineLevel="0" collapsed="false">
      <c r="B23" s="56" t="s">
        <v>404</v>
      </c>
      <c r="C23" s="57"/>
      <c r="D23" s="65" t="n">
        <f aca="false">SUM(D18:D22)</f>
        <v>450</v>
      </c>
      <c r="E23" s="65" t="n">
        <f aca="false">SUM(E18:E22)</f>
        <v>450</v>
      </c>
      <c r="F23" s="65" t="n">
        <f aca="false">SUM(F18:F22)</f>
        <v>450</v>
      </c>
      <c r="G23" s="65" t="n">
        <f aca="false">SUM(G18:G22)</f>
        <v>5296.5</v>
      </c>
      <c r="H23" s="65" t="n">
        <f aca="false">SUM(H18:H22)</f>
        <v>8827.5</v>
      </c>
      <c r="I23" s="65" t="n">
        <f aca="false">SUM(I18:I22)</f>
        <v>10593</v>
      </c>
      <c r="J23" s="65" t="n">
        <f aca="false">SUM(J18:J22)</f>
        <v>12546</v>
      </c>
      <c r="K23" s="65" t="n">
        <f aca="false">SUM(K18:K22)</f>
        <v>16452</v>
      </c>
      <c r="L23" s="65" t="n">
        <f aca="false">SUM(L18:L22)</f>
        <v>18530</v>
      </c>
      <c r="M23" s="65" t="n">
        <f aca="false">SUM(M18:M22)</f>
        <v>22558.5</v>
      </c>
      <c r="N23" s="65" t="n">
        <f aca="false">SUM(N18:N22)</f>
        <v>26695.8461538462</v>
      </c>
      <c r="O23" s="65" t="n">
        <f aca="false">SUM(O18:O22)</f>
        <v>30848</v>
      </c>
      <c r="P23" s="65" t="n">
        <f aca="false">SUM(P18:P22)</f>
        <v>35005.8292682927</v>
      </c>
      <c r="Q23" s="65" t="n">
        <f aca="false">SUM(Q18:Q22)</f>
        <v>39390</v>
      </c>
      <c r="R23" s="65" t="n">
        <f aca="false">SUM(R18:R22)</f>
        <v>43956</v>
      </c>
      <c r="S23" s="65" t="n">
        <f aca="false">SUM(S18:S22)</f>
        <v>48481.8591549296</v>
      </c>
      <c r="T23" s="65" t="n">
        <f aca="false">SUM(T18:T22)</f>
        <v>52925.3926380368</v>
      </c>
      <c r="U23" s="65" t="n">
        <f aca="false">SUM(U18:U22)</f>
        <v>57331.8260869565</v>
      </c>
      <c r="V23" s="65" t="n">
        <f aca="false">SUM(V18:V22)</f>
        <v>61724.7087378641</v>
      </c>
      <c r="W23" s="65" t="n">
        <f aca="false">SUM(W18:W22)</f>
        <v>66106.480349345</v>
      </c>
      <c r="X23" s="65" t="n">
        <f aca="false">SUM(X18:X22)</f>
        <v>70773.4285714286</v>
      </c>
      <c r="Y23" s="65" t="n">
        <f aca="false">SUM(Y18:Y22)</f>
        <v>75708</v>
      </c>
      <c r="Z23" s="65" t="n">
        <f aca="false">SUM(Z18:Z22)</f>
        <v>80598</v>
      </c>
      <c r="AA23" s="65" t="n">
        <f aca="false">SUM(AA18:AA22)</f>
        <v>85453.3333333333</v>
      </c>
      <c r="AB23" s="65" t="n">
        <f aca="false">SUM(D23:O23)</f>
        <v>153697.346153846</v>
      </c>
      <c r="AC23" s="65" t="n">
        <f aca="false">SUM(P23:AA23)</f>
        <v>717454.858140187</v>
      </c>
      <c r="AD23" s="65" t="n">
        <f aca="false">SUM(D23:AA23)</f>
        <v>871152.204294033</v>
      </c>
    </row>
    <row r="25" customFormat="false" ht="15" hidden="false" customHeight="false" outlineLevel="0" collapsed="false">
      <c r="B25" s="6" t="s">
        <v>405</v>
      </c>
      <c r="D25" s="38" t="n">
        <f aca="false">'Receita e Clientes'!D9*Premissas!$C$36</f>
        <v>0</v>
      </c>
      <c r="E25" s="38" t="n">
        <f aca="false">'Receita e Clientes'!E9*Premissas!$C$36</f>
        <v>0</v>
      </c>
      <c r="F25" s="38" t="n">
        <f aca="false">'Receita e Clientes'!F9*Premissas!$C$36</f>
        <v>0</v>
      </c>
      <c r="G25" s="38" t="n">
        <f aca="false">'Receita e Clientes'!G9*Premissas!$C$36</f>
        <v>0</v>
      </c>
      <c r="H25" s="38" t="n">
        <f aca="false">'Receita e Clientes'!H9*Premissas!$C$36</f>
        <v>6000</v>
      </c>
      <c r="I25" s="38" t="n">
        <f aca="false">'Receita e Clientes'!I9*Premissas!$C$36</f>
        <v>3000</v>
      </c>
      <c r="J25" s="38" t="n">
        <f aca="false">'Receita e Clientes'!J9*Premissas!$C$36</f>
        <v>3000</v>
      </c>
      <c r="K25" s="38" t="n">
        <f aca="false">'Receita e Clientes'!K9*Premissas!$C$36</f>
        <v>6000</v>
      </c>
      <c r="L25" s="38" t="n">
        <f aca="false">'Receita e Clientes'!L9*Premissas!$C$36</f>
        <v>3000</v>
      </c>
      <c r="M25" s="38" t="n">
        <f aca="false">'Receita e Clientes'!M9*Premissas!$C$36</f>
        <v>6000</v>
      </c>
      <c r="N25" s="38" t="n">
        <f aca="false">'Receita e Clientes'!N9*Premissas!$C$36</f>
        <v>6000</v>
      </c>
      <c r="O25" s="38" t="n">
        <f aca="false">'Receita e Clientes'!O9*Premissas!$C$36</f>
        <v>6000</v>
      </c>
      <c r="P25" s="38" t="n">
        <f aca="false">'Receita e Clientes'!P9*Premissas!$C$36</f>
        <v>6000</v>
      </c>
      <c r="Q25" s="38" t="n">
        <f aca="false">'Receita e Clientes'!Q9*Premissas!$C$36</f>
        <v>6000</v>
      </c>
      <c r="R25" s="38" t="n">
        <f aca="false">'Receita e Clientes'!R9*Premissas!$C$36</f>
        <v>6000</v>
      </c>
      <c r="S25" s="38" t="n">
        <f aca="false">'Receita e Clientes'!S9*Premissas!$C$36</f>
        <v>6000</v>
      </c>
      <c r="T25" s="38" t="n">
        <f aca="false">'Receita e Clientes'!T9*Premissas!$C$36</f>
        <v>6000</v>
      </c>
      <c r="U25" s="38" t="n">
        <f aca="false">'Receita e Clientes'!U9*Premissas!$C$36</f>
        <v>6000</v>
      </c>
      <c r="V25" s="38" t="n">
        <f aca="false">'Receita e Clientes'!V9*Premissas!$C$36</f>
        <v>6000</v>
      </c>
      <c r="W25" s="38" t="n">
        <f aca="false">'Receita e Clientes'!W9*Premissas!$C$36</f>
        <v>6000</v>
      </c>
      <c r="X25" s="38" t="n">
        <f aca="false">'Receita e Clientes'!X9*Premissas!$C$36</f>
        <v>6000</v>
      </c>
      <c r="Y25" s="38" t="n">
        <f aca="false">'Receita e Clientes'!Y9*Premissas!$C$36</f>
        <v>6000</v>
      </c>
      <c r="Z25" s="38" t="n">
        <f aca="false">'Receita e Clientes'!Z9*Premissas!$C$36</f>
        <v>6000</v>
      </c>
      <c r="AA25" s="38" t="n">
        <f aca="false">'Receita e Clientes'!AA9*Premissas!$C$36</f>
        <v>6000</v>
      </c>
      <c r="AB25" s="46" t="n">
        <f aca="false">SUM(D25:O25)</f>
        <v>39000</v>
      </c>
      <c r="AC25" s="46" t="n">
        <f aca="false">SUM(P25:AA25)</f>
        <v>72000</v>
      </c>
      <c r="AD25" s="46" t="n">
        <f aca="false">SUM(D25:AA25)</f>
        <v>111000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B6E0"/>
    <pageSetUpPr fitToPage="true"/>
  </sheetPr>
  <dimension ref="B2:F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0"/>
    <col collapsed="false" customWidth="true" hidden="false" outlineLevel="0" max="5" min="3" style="0" width="16"/>
    <col collapsed="false" customWidth="true" hidden="false" outlineLevel="0" max="6" min="6" style="0" width="60"/>
  </cols>
  <sheetData>
    <row r="2" customFormat="false" ht="21.75" hidden="false" customHeight="true" outlineLevel="0" collapsed="false">
      <c r="B2" s="1" t="s">
        <v>406</v>
      </c>
    </row>
    <row r="3" customFormat="false" ht="15" hidden="false" customHeight="false" outlineLevel="0" collapsed="false">
      <c r="B3" s="2" t="s">
        <v>407</v>
      </c>
    </row>
    <row r="5" customFormat="false" ht="15" hidden="false" customHeight="false" outlineLevel="0" collapsed="false">
      <c r="B5" s="30" t="s">
        <v>408</v>
      </c>
      <c r="C5" s="30" t="s">
        <v>409</v>
      </c>
      <c r="D5" s="30" t="s">
        <v>410</v>
      </c>
      <c r="E5" s="30" t="s">
        <v>411</v>
      </c>
      <c r="F5" s="30" t="s">
        <v>412</v>
      </c>
    </row>
    <row r="6" customFormat="false" ht="15" hidden="false" customHeight="false" outlineLevel="0" collapsed="false">
      <c r="B6" s="5" t="s">
        <v>413</v>
      </c>
      <c r="C6" s="75" t="n">
        <v>4</v>
      </c>
      <c r="D6" s="75" t="n">
        <v>12</v>
      </c>
      <c r="E6" s="75" t="n">
        <v>24</v>
      </c>
    </row>
    <row r="7" customFormat="false" ht="15" hidden="false" customHeight="false" outlineLevel="0" collapsed="false">
      <c r="B7" s="6" t="s">
        <v>414</v>
      </c>
      <c r="C7" s="60" t="n">
        <f aca="false">INDEX('Receita e Clientes'!$D$13:$AA$13,C$6)</f>
        <v>900</v>
      </c>
      <c r="D7" s="60" t="n">
        <f aca="false">INDEX('Receita e Clientes'!$D$13:$AA$13,D$6)</f>
        <v>4800</v>
      </c>
      <c r="E7" s="60" t="n">
        <f aca="false">INDEX('Receita e Clientes'!$D$13:$AA$13,E$6)</f>
        <v>12000</v>
      </c>
      <c r="F7" s="14" t="s">
        <v>415</v>
      </c>
    </row>
    <row r="8" customFormat="false" ht="15" hidden="false" customHeight="false" outlineLevel="0" collapsed="false">
      <c r="B8" s="6" t="s">
        <v>416</v>
      </c>
      <c r="C8" s="37" t="n">
        <f aca="false">IF(C7&gt;0,INDEX('Custos Fixos'!$D$39:$AA$39,C$6)/C7,0)</f>
        <v>2.88888888888889</v>
      </c>
      <c r="D8" s="37" t="n">
        <f aca="false">IF(D7&gt;0,INDEX('Custos Fixos'!$D$39:$AA$39,D$6)/D7,0)</f>
        <v>1.48958333333333</v>
      </c>
      <c r="E8" s="37" t="n">
        <f aca="false">IF(E7&gt;0,INDEX('Custos Fixos'!$D$39:$AA$39,E$6)/E7,0)</f>
        <v>0.8125</v>
      </c>
      <c r="F8" s="14" t="s">
        <v>417</v>
      </c>
    </row>
    <row r="9" customFormat="false" ht="15" hidden="false" customHeight="false" outlineLevel="0" collapsed="false">
      <c r="B9" s="6" t="s">
        <v>418</v>
      </c>
      <c r="C9" s="37" t="n">
        <f aca="false">Premissas!$C$37+Premissas!$C$39/Premissas!$C$14</f>
        <v>0.51</v>
      </c>
      <c r="D9" s="37" t="n">
        <f aca="false">Premissas!$C$37+Premissas!$C$39/Premissas!$C$14</f>
        <v>0.51</v>
      </c>
      <c r="E9" s="37" t="n">
        <f aca="false">Premissas!$C$37+Premissas!$C$39/Premissas!$C$14</f>
        <v>0.51</v>
      </c>
      <c r="F9" s="14" t="s">
        <v>419</v>
      </c>
    </row>
    <row r="10" customFormat="false" ht="15" hidden="false" customHeight="false" outlineLevel="0" collapsed="false">
      <c r="B10" s="6" t="s">
        <v>420</v>
      </c>
      <c r="C10" s="37" t="n">
        <f aca="false">IF(C7&gt;0,(INDEX('Custos Fixos'!$D$40:$AA$40,C$6)+INDEX('Custos Fixos'!$D$41:$AA$41,C$6))/C7,0)</f>
        <v>5.00185185185185</v>
      </c>
      <c r="D10" s="37" t="n">
        <f aca="false">IF(D7&gt;0,(INDEX('Custos Fixos'!$D$40:$AA$40,D$6)+INDEX('Custos Fixos'!$D$41:$AA$41,D$6))/D7,0)</f>
        <v>1.44826388888889</v>
      </c>
      <c r="E10" s="37" t="n">
        <f aca="false">IF(E7&gt;0,(INDEX('Custos Fixos'!$D$40:$AA$40,E$6)+INDEX('Custos Fixos'!$D$41:$AA$41,E$6))/E7,0)</f>
        <v>0.779305555555556</v>
      </c>
      <c r="F10" s="14" t="s">
        <v>421</v>
      </c>
    </row>
    <row r="11" customFormat="false" ht="15" hidden="false" customHeight="false" outlineLevel="0" collapsed="false">
      <c r="B11" s="5" t="s">
        <v>422</v>
      </c>
      <c r="C11" s="73" t="n">
        <f aca="false">C8+C9+C10</f>
        <v>8.40074074074074</v>
      </c>
      <c r="D11" s="73" t="n">
        <f aca="false">D8+D9+D10</f>
        <v>3.44784722222222</v>
      </c>
      <c r="E11" s="73" t="n">
        <f aca="false">E8+E9+E10</f>
        <v>2.10180555555556</v>
      </c>
      <c r="F11" s="14" t="s">
        <v>423</v>
      </c>
    </row>
    <row r="12" customFormat="false" ht="15" hidden="false" customHeight="false" outlineLevel="0" collapsed="false">
      <c r="B12" s="6" t="s">
        <v>424</v>
      </c>
      <c r="C12" s="33" t="n">
        <f aca="false">INDEX(Tributação!$D$19:$AA$19,C$6)+Premissas!$C$38+Premissas!$C$40</f>
        <v>0.215</v>
      </c>
      <c r="D12" s="33" t="n">
        <f aca="false">INDEX(Tributação!$D$19:$AA$19,D$6)+Premissas!$C$38+Premissas!$C$40</f>
        <v>0.236666666666667</v>
      </c>
      <c r="E12" s="33" t="n">
        <f aca="false">INDEX(Tributação!$D$19:$AA$19,E$6)+Premissas!$C$38+Premissas!$C$40</f>
        <v>0.264444444444445</v>
      </c>
      <c r="F12" s="14" t="s">
        <v>425</v>
      </c>
    </row>
    <row r="13" customFormat="false" ht="15" hidden="false" customHeight="false" outlineLevel="0" collapsed="false">
      <c r="B13" s="6" t="s">
        <v>426</v>
      </c>
      <c r="C13" s="33" t="n">
        <f aca="false">Premissas!$C$59</f>
        <v>0.2</v>
      </c>
      <c r="D13" s="33" t="n">
        <f aca="false">Premissas!$C$59</f>
        <v>0.2</v>
      </c>
      <c r="E13" s="33" t="n">
        <f aca="false">Premissas!$C$59</f>
        <v>0.2</v>
      </c>
      <c r="F13" s="14" t="s">
        <v>427</v>
      </c>
    </row>
    <row r="14" customFormat="false" ht="15" hidden="false" customHeight="false" outlineLevel="0" collapsed="false">
      <c r="B14" s="5" t="s">
        <v>428</v>
      </c>
      <c r="C14" s="73" t="n">
        <f aca="false">IF(1-(C12+C13)&gt;0,C11/(1-(C12+C13)),0)</f>
        <v>14.3602405824628</v>
      </c>
      <c r="D14" s="73" t="n">
        <f aca="false">IF(1-(D12+D13)&gt;0,D11/(1-(D12+D13)),0)</f>
        <v>6.12043885601578</v>
      </c>
      <c r="E14" s="73" t="n">
        <f aca="false">IF(1-(E12+E13)&gt;0,E11/(1-(E12+E13)),0)</f>
        <v>3.92453319502075</v>
      </c>
      <c r="F14" s="14" t="s">
        <v>429</v>
      </c>
    </row>
    <row r="15" customFormat="false" ht="15" hidden="false" customHeight="false" outlineLevel="0" collapsed="false">
      <c r="B15" s="6" t="s">
        <v>430</v>
      </c>
      <c r="C15" s="37" t="n">
        <f aca="false">Premissas!$C$16</f>
        <v>25</v>
      </c>
      <c r="D15" s="37" t="n">
        <f aca="false">Premissas!$C$16</f>
        <v>25</v>
      </c>
      <c r="E15" s="37" t="n">
        <f aca="false">Premissas!$C$16</f>
        <v>25</v>
      </c>
      <c r="F15" s="14" t="s">
        <v>427</v>
      </c>
    </row>
    <row r="16" customFormat="false" ht="15" hidden="false" customHeight="false" outlineLevel="0" collapsed="false">
      <c r="B16" s="6" t="s">
        <v>431</v>
      </c>
      <c r="C16" s="33" t="n">
        <f aca="false">IF(C14&gt;0,C15/C14-1,0)</f>
        <v>0.740917908473679</v>
      </c>
      <c r="D16" s="33" t="n">
        <f aca="false">IF(D14&gt;0,D15/D14-1,0)</f>
        <v>3.08467441438901</v>
      </c>
      <c r="E16" s="33" t="n">
        <f aca="false">IF(E14&gt;0,E15/E14-1,0)</f>
        <v>5.37018436529439</v>
      </c>
      <c r="F16" s="14" t="s">
        <v>432</v>
      </c>
    </row>
    <row r="18" customFormat="false" ht="15" hidden="false" customHeight="false" outlineLevel="0" collapsed="false">
      <c r="B18" s="27" t="s">
        <v>433</v>
      </c>
      <c r="C18" s="28"/>
      <c r="D18" s="28"/>
      <c r="E18" s="28"/>
      <c r="F18" s="28"/>
    </row>
    <row r="19" customFormat="false" ht="15" hidden="false" customHeight="false" outlineLevel="0" collapsed="false">
      <c r="B19" s="30" t="s">
        <v>434</v>
      </c>
      <c r="C19" s="30" t="s">
        <v>435</v>
      </c>
      <c r="D19" s="30" t="s">
        <v>436</v>
      </c>
      <c r="E19" s="30" t="s">
        <v>437</v>
      </c>
    </row>
    <row r="20" customFormat="false" ht="15" hidden="false" customHeight="false" outlineLevel="0" collapsed="false">
      <c r="B20" s="6" t="s">
        <v>438</v>
      </c>
      <c r="C20" s="72" t="n">
        <f aca="false">Premissas!$C$18</f>
        <v>29</v>
      </c>
      <c r="D20" s="37" t="n">
        <f aca="false">$D$11+C20*$D$12</f>
        <v>10.3111805555556</v>
      </c>
      <c r="E20" s="76" t="n">
        <f aca="false">C20-D20</f>
        <v>18.6888194444444</v>
      </c>
      <c r="F20" s="33" t="n">
        <f aca="false">IF(C20&gt;0,E20/C20,0)</f>
        <v>0.644442049808429</v>
      </c>
    </row>
    <row r="21" customFormat="false" ht="15" hidden="false" customHeight="false" outlineLevel="0" collapsed="false">
      <c r="B21" s="6" t="s">
        <v>439</v>
      </c>
      <c r="C21" s="72" t="n">
        <f aca="false">Premissas!$C$19</f>
        <v>24</v>
      </c>
      <c r="D21" s="37" t="n">
        <f aca="false">$D$11+C21*$D$12</f>
        <v>9.12784722222222</v>
      </c>
      <c r="E21" s="76" t="n">
        <f aca="false">C21-D21</f>
        <v>14.8721527777778</v>
      </c>
      <c r="F21" s="33" t="n">
        <f aca="false">IF(C21&gt;0,E21/C21,0)</f>
        <v>0.619673032407408</v>
      </c>
    </row>
    <row r="22" customFormat="false" ht="15" hidden="false" customHeight="false" outlineLevel="0" collapsed="false">
      <c r="B22" s="6" t="s">
        <v>440</v>
      </c>
      <c r="C22" s="72" t="n">
        <f aca="false">Premissas!$C$20</f>
        <v>19</v>
      </c>
      <c r="D22" s="37" t="n">
        <f aca="false">$D$11+C22*$D$12</f>
        <v>7.94451388888889</v>
      </c>
      <c r="E22" s="76" t="n">
        <f aca="false">C22-D22</f>
        <v>11.0554861111111</v>
      </c>
      <c r="F22" s="33" t="n">
        <f aca="false">IF(C22&gt;0,E22/C22,0)</f>
        <v>0.58186769005848</v>
      </c>
    </row>
    <row r="23" customFormat="false" ht="15" hidden="false" customHeight="false" outlineLevel="0" collapsed="false">
      <c r="B23" s="25" t="s">
        <v>441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B6E0"/>
    <pageSetUpPr fitToPage="true"/>
  </sheetPr>
  <dimension ref="B2:AD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0"/>
    <col collapsed="false" customWidth="true" hidden="false" outlineLevel="0" max="27" min="3" style="0" width="11.5"/>
    <col collapsed="false" customWidth="true" hidden="false" outlineLevel="0" max="30" min="28" style="0" width="13.5"/>
  </cols>
  <sheetData>
    <row r="2" customFormat="false" ht="21.75" hidden="false" customHeight="true" outlineLevel="0" collapsed="false">
      <c r="B2" s="1" t="s">
        <v>442</v>
      </c>
    </row>
    <row r="3" customFormat="false" ht="15" hidden="false" customHeight="false" outlineLevel="0" collapsed="false">
      <c r="B3" s="2" t="s">
        <v>443</v>
      </c>
    </row>
    <row r="5" customFormat="false" ht="15" hidden="false" customHeight="false" outlineLevel="0" collapsed="false">
      <c r="B5" s="8" t="s">
        <v>444</v>
      </c>
    </row>
    <row r="6" customFormat="false" ht="30" hidden="false" customHeight="true" outlineLevel="0" collapsed="false">
      <c r="B6" s="30" t="s">
        <v>445</v>
      </c>
      <c r="C6" s="30" t="s">
        <v>446</v>
      </c>
      <c r="D6" s="30" t="s">
        <v>447</v>
      </c>
      <c r="E6" s="30" t="s">
        <v>448</v>
      </c>
      <c r="F6" s="30" t="s">
        <v>449</v>
      </c>
      <c r="G6" s="30" t="s">
        <v>450</v>
      </c>
      <c r="H6" s="30" t="s">
        <v>451</v>
      </c>
    </row>
    <row r="7" customFormat="false" ht="15" hidden="false" customHeight="false" outlineLevel="0" collapsed="false">
      <c r="B7" s="77" t="s">
        <v>452</v>
      </c>
      <c r="C7" s="15" t="n">
        <v>0</v>
      </c>
      <c r="D7" s="15" t="n">
        <v>180000</v>
      </c>
      <c r="E7" s="43" t="n">
        <v>0.06</v>
      </c>
      <c r="F7" s="15" t="n">
        <v>0</v>
      </c>
      <c r="G7" s="43" t="n">
        <v>0.155</v>
      </c>
      <c r="H7" s="15" t="n">
        <v>0</v>
      </c>
    </row>
    <row r="8" customFormat="false" ht="15" hidden="false" customHeight="false" outlineLevel="0" collapsed="false">
      <c r="B8" s="77" t="s">
        <v>453</v>
      </c>
      <c r="C8" s="15" t="n">
        <v>180000.01</v>
      </c>
      <c r="D8" s="15" t="n">
        <v>360000</v>
      </c>
      <c r="E8" s="43" t="n">
        <v>0.112</v>
      </c>
      <c r="F8" s="15" t="n">
        <v>9360</v>
      </c>
      <c r="G8" s="43" t="n">
        <v>0.18</v>
      </c>
      <c r="H8" s="15" t="n">
        <v>4500</v>
      </c>
    </row>
    <row r="9" customFormat="false" ht="15" hidden="false" customHeight="false" outlineLevel="0" collapsed="false">
      <c r="B9" s="77" t="s">
        <v>454</v>
      </c>
      <c r="C9" s="15" t="n">
        <v>360000.01</v>
      </c>
      <c r="D9" s="15" t="n">
        <v>720000</v>
      </c>
      <c r="E9" s="43" t="n">
        <v>0.135</v>
      </c>
      <c r="F9" s="15" t="n">
        <v>17640</v>
      </c>
      <c r="G9" s="43" t="n">
        <v>0.195</v>
      </c>
      <c r="H9" s="15" t="n">
        <v>9900</v>
      </c>
    </row>
    <row r="10" customFormat="false" ht="15" hidden="false" customHeight="false" outlineLevel="0" collapsed="false">
      <c r="B10" s="77" t="s">
        <v>455</v>
      </c>
      <c r="C10" s="15" t="n">
        <v>720000.01</v>
      </c>
      <c r="D10" s="15" t="n">
        <v>1800000</v>
      </c>
      <c r="E10" s="43" t="n">
        <v>0.16</v>
      </c>
      <c r="F10" s="15" t="n">
        <v>35640</v>
      </c>
      <c r="G10" s="43" t="n">
        <v>0.205</v>
      </c>
      <c r="H10" s="15" t="n">
        <v>17100</v>
      </c>
    </row>
    <row r="11" customFormat="false" ht="15" hidden="false" customHeight="false" outlineLevel="0" collapsed="false">
      <c r="B11" s="77" t="s">
        <v>456</v>
      </c>
      <c r="C11" s="15" t="n">
        <v>1800000.01</v>
      </c>
      <c r="D11" s="15" t="n">
        <v>3600000</v>
      </c>
      <c r="E11" s="43" t="n">
        <v>0.21</v>
      </c>
      <c r="F11" s="15" t="n">
        <v>125640</v>
      </c>
      <c r="G11" s="43" t="n">
        <v>0.23</v>
      </c>
      <c r="H11" s="15" t="n">
        <v>62100</v>
      </c>
    </row>
    <row r="12" customFormat="false" ht="15" hidden="false" customHeight="false" outlineLevel="0" collapsed="false">
      <c r="B12" s="77" t="s">
        <v>457</v>
      </c>
      <c r="C12" s="15" t="n">
        <v>3600000.01</v>
      </c>
      <c r="D12" s="15" t="n">
        <v>4800000</v>
      </c>
      <c r="E12" s="43" t="n">
        <v>0.33</v>
      </c>
      <c r="F12" s="15" t="n">
        <v>648000</v>
      </c>
      <c r="G12" s="43" t="n">
        <v>0.305</v>
      </c>
      <c r="H12" s="15" t="n">
        <v>540000</v>
      </c>
    </row>
    <row r="13" customFormat="false" ht="15" hidden="false" customHeight="false" outlineLevel="0" collapsed="false">
      <c r="B13" s="25" t="s">
        <v>458</v>
      </c>
    </row>
    <row r="15" customFormat="false" ht="18" hidden="false" customHeight="true" outlineLevel="0" collapsed="false">
      <c r="B15" s="4" t="s">
        <v>459</v>
      </c>
      <c r="D15" s="30" t="s">
        <v>273</v>
      </c>
      <c r="E15" s="30" t="s">
        <v>274</v>
      </c>
      <c r="F15" s="30" t="s">
        <v>275</v>
      </c>
      <c r="G15" s="30" t="s">
        <v>276</v>
      </c>
      <c r="H15" s="30" t="s">
        <v>277</v>
      </c>
      <c r="I15" s="30" t="s">
        <v>278</v>
      </c>
      <c r="J15" s="30" t="s">
        <v>279</v>
      </c>
      <c r="K15" s="30" t="s">
        <v>280</v>
      </c>
      <c r="L15" s="30" t="s">
        <v>281</v>
      </c>
      <c r="M15" s="30" t="s">
        <v>282</v>
      </c>
      <c r="N15" s="30" t="s">
        <v>283</v>
      </c>
      <c r="O15" s="30" t="s">
        <v>284</v>
      </c>
      <c r="P15" s="30" t="s">
        <v>285</v>
      </c>
      <c r="Q15" s="30" t="s">
        <v>286</v>
      </c>
      <c r="R15" s="30" t="s">
        <v>287</v>
      </c>
      <c r="S15" s="30" t="s">
        <v>288</v>
      </c>
      <c r="T15" s="30" t="s">
        <v>289</v>
      </c>
      <c r="U15" s="30" t="s">
        <v>290</v>
      </c>
      <c r="V15" s="30" t="s">
        <v>291</v>
      </c>
      <c r="W15" s="30" t="s">
        <v>292</v>
      </c>
      <c r="X15" s="30" t="s">
        <v>293</v>
      </c>
      <c r="Y15" s="30" t="s">
        <v>294</v>
      </c>
      <c r="Z15" s="30" t="s">
        <v>295</v>
      </c>
      <c r="AA15" s="30" t="s">
        <v>296</v>
      </c>
      <c r="AB15" s="51" t="s">
        <v>297</v>
      </c>
      <c r="AC15" s="51" t="s">
        <v>298</v>
      </c>
      <c r="AD15" s="51" t="s">
        <v>299</v>
      </c>
    </row>
    <row r="16" customFormat="false" ht="15" hidden="false" customHeight="false" outlineLevel="0" collapsed="false">
      <c r="B16" s="25" t="s">
        <v>300</v>
      </c>
      <c r="C16" s="52" t="n">
        <v>0</v>
      </c>
      <c r="D16" s="52" t="n">
        <v>1</v>
      </c>
      <c r="E16" s="52" t="n">
        <v>2</v>
      </c>
      <c r="F16" s="52" t="n">
        <v>3</v>
      </c>
      <c r="G16" s="52" t="n">
        <v>4</v>
      </c>
      <c r="H16" s="52" t="n">
        <v>5</v>
      </c>
      <c r="I16" s="52" t="n">
        <v>6</v>
      </c>
      <c r="J16" s="52" t="n">
        <v>7</v>
      </c>
      <c r="K16" s="52" t="n">
        <v>8</v>
      </c>
      <c r="L16" s="52" t="n">
        <v>9</v>
      </c>
      <c r="M16" s="52" t="n">
        <v>10</v>
      </c>
      <c r="N16" s="52" t="n">
        <v>11</v>
      </c>
      <c r="O16" s="52" t="n">
        <v>12</v>
      </c>
      <c r="P16" s="52" t="n">
        <v>13</v>
      </c>
      <c r="Q16" s="52" t="n">
        <v>14</v>
      </c>
      <c r="R16" s="52" t="n">
        <v>15</v>
      </c>
      <c r="S16" s="52" t="n">
        <v>16</v>
      </c>
      <c r="T16" s="52" t="n">
        <v>17</v>
      </c>
      <c r="U16" s="52" t="n">
        <v>18</v>
      </c>
      <c r="V16" s="52" t="n">
        <v>19</v>
      </c>
      <c r="W16" s="52" t="n">
        <v>20</v>
      </c>
      <c r="X16" s="52" t="n">
        <v>21</v>
      </c>
      <c r="Y16" s="52" t="n">
        <v>22</v>
      </c>
      <c r="Z16" s="52" t="n">
        <v>23</v>
      </c>
      <c r="AA16" s="52" t="n">
        <v>24</v>
      </c>
    </row>
    <row r="17" customFormat="false" ht="15" hidden="false" customHeight="false" outlineLevel="0" collapsed="false">
      <c r="B17" s="6" t="s">
        <v>460</v>
      </c>
      <c r="D17" s="13" t="n">
        <f aca="false">'Receita e Clientes'!D15</f>
        <v>0</v>
      </c>
      <c r="E17" s="13" t="n">
        <f aca="false">'Receita e Clientes'!E15</f>
        <v>0</v>
      </c>
      <c r="F17" s="13" t="n">
        <f aca="false">'Receita e Clientes'!F15</f>
        <v>0</v>
      </c>
      <c r="G17" s="13" t="n">
        <f aca="false">'Receita e Clientes'!G15</f>
        <v>22500</v>
      </c>
      <c r="H17" s="13" t="n">
        <f aca="false">'Receita e Clientes'!H15</f>
        <v>37500</v>
      </c>
      <c r="I17" s="13" t="n">
        <f aca="false">'Receita e Clientes'!I15</f>
        <v>45000</v>
      </c>
      <c r="J17" s="13" t="n">
        <f aca="false">'Receita e Clientes'!J15</f>
        <v>52500</v>
      </c>
      <c r="K17" s="13" t="n">
        <f aca="false">'Receita e Clientes'!K15</f>
        <v>67500</v>
      </c>
      <c r="L17" s="13" t="n">
        <f aca="false">'Receita e Clientes'!L15</f>
        <v>75000</v>
      </c>
      <c r="M17" s="13" t="n">
        <f aca="false">'Receita e Clientes'!M15</f>
        <v>90000</v>
      </c>
      <c r="N17" s="13" t="n">
        <f aca="false">'Receita e Clientes'!N15</f>
        <v>105000</v>
      </c>
      <c r="O17" s="13" t="n">
        <f aca="false">'Receita e Clientes'!O15</f>
        <v>120000</v>
      </c>
      <c r="P17" s="13" t="n">
        <f aca="false">'Receita e Clientes'!P15</f>
        <v>135000</v>
      </c>
      <c r="Q17" s="13" t="n">
        <f aca="false">'Receita e Clientes'!Q15</f>
        <v>150000</v>
      </c>
      <c r="R17" s="13" t="n">
        <f aca="false">'Receita e Clientes'!R15</f>
        <v>165000</v>
      </c>
      <c r="S17" s="13" t="n">
        <f aca="false">'Receita e Clientes'!S15</f>
        <v>180000</v>
      </c>
      <c r="T17" s="13" t="n">
        <f aca="false">'Receita e Clientes'!T15</f>
        <v>195000</v>
      </c>
      <c r="U17" s="13" t="n">
        <f aca="false">'Receita e Clientes'!U15</f>
        <v>210000</v>
      </c>
      <c r="V17" s="13" t="n">
        <f aca="false">'Receita e Clientes'!V15</f>
        <v>225000</v>
      </c>
      <c r="W17" s="13" t="n">
        <f aca="false">'Receita e Clientes'!W15</f>
        <v>240000</v>
      </c>
      <c r="X17" s="13" t="n">
        <f aca="false">'Receita e Clientes'!X15</f>
        <v>255000</v>
      </c>
      <c r="Y17" s="13" t="n">
        <f aca="false">'Receita e Clientes'!Y15</f>
        <v>270000</v>
      </c>
      <c r="Z17" s="13" t="n">
        <f aca="false">'Receita e Clientes'!Z15</f>
        <v>285000</v>
      </c>
      <c r="AA17" s="13" t="n">
        <f aca="false">'Receita e Clientes'!AA15</f>
        <v>300000</v>
      </c>
      <c r="AB17" s="46" t="n">
        <f aca="false">SUM(D17:O17)</f>
        <v>615000</v>
      </c>
      <c r="AC17" s="46" t="n">
        <f aca="false">SUM(P17:AA17)</f>
        <v>2610000</v>
      </c>
      <c r="AD17" s="46" t="n">
        <f aca="false">SUM(D17:AA17)</f>
        <v>3225000</v>
      </c>
    </row>
    <row r="18" customFormat="false" ht="15" hidden="false" customHeight="false" outlineLevel="0" collapsed="false">
      <c r="B18" s="6" t="s">
        <v>461</v>
      </c>
      <c r="D18" s="38" t="n">
        <f aca="false">D17*12</f>
        <v>0</v>
      </c>
      <c r="E18" s="38" t="n">
        <f aca="false">SUM(D17:D17)/1*12</f>
        <v>0</v>
      </c>
      <c r="F18" s="38" t="n">
        <f aca="false">SUM(D17:E17)/2*12</f>
        <v>0</v>
      </c>
      <c r="G18" s="38" t="n">
        <f aca="false">SUM(D17:F17)/3*12</f>
        <v>0</v>
      </c>
      <c r="H18" s="38" t="n">
        <f aca="false">SUM(D17:G17)/4*12</f>
        <v>67500</v>
      </c>
      <c r="I18" s="38" t="n">
        <f aca="false">SUM(D17:H17)/5*12</f>
        <v>144000</v>
      </c>
      <c r="J18" s="38" t="n">
        <f aca="false">SUM(D17:I17)/6*12</f>
        <v>210000</v>
      </c>
      <c r="K18" s="38" t="n">
        <f aca="false">SUM(D17:J17)/7*12</f>
        <v>270000</v>
      </c>
      <c r="L18" s="38" t="n">
        <f aca="false">SUM(D17:K17)/8*12</f>
        <v>337500</v>
      </c>
      <c r="M18" s="38" t="n">
        <f aca="false">SUM(D17:L17)/9*12</f>
        <v>400000</v>
      </c>
      <c r="N18" s="38" t="n">
        <f aca="false">SUM(D17:M17)/10*12</f>
        <v>468000</v>
      </c>
      <c r="O18" s="38" t="n">
        <f aca="false">SUM(D17:N17)/11*12</f>
        <v>540000</v>
      </c>
      <c r="P18" s="38" t="n">
        <f aca="false">SUM(D17:O17)</f>
        <v>615000</v>
      </c>
      <c r="Q18" s="38" t="n">
        <f aca="false">SUM(E17:P17)</f>
        <v>750000</v>
      </c>
      <c r="R18" s="38" t="n">
        <f aca="false">SUM(F17:Q17)</f>
        <v>900000</v>
      </c>
      <c r="S18" s="38" t="n">
        <f aca="false">SUM(G17:R17)</f>
        <v>1065000</v>
      </c>
      <c r="T18" s="38" t="n">
        <f aca="false">SUM(H17:S17)</f>
        <v>1222500</v>
      </c>
      <c r="U18" s="38" t="n">
        <f aca="false">SUM(I17:T17)</f>
        <v>1380000</v>
      </c>
      <c r="V18" s="38" t="n">
        <f aca="false">SUM(J17:U17)</f>
        <v>1545000</v>
      </c>
      <c r="W18" s="38" t="n">
        <f aca="false">SUM(K17:V17)</f>
        <v>1717500</v>
      </c>
      <c r="X18" s="38" t="n">
        <f aca="false">SUM(L17:W17)</f>
        <v>1890000</v>
      </c>
      <c r="Y18" s="38" t="n">
        <f aca="false">SUM(M17:X17)</f>
        <v>2070000</v>
      </c>
      <c r="Z18" s="38" t="n">
        <f aca="false">SUM(N17:Y17)</f>
        <v>2250000</v>
      </c>
      <c r="AA18" s="38" t="n">
        <f aca="false">SUM(O17:Z17)</f>
        <v>2430000</v>
      </c>
    </row>
    <row r="19" customFormat="false" ht="15" hidden="false" customHeight="false" outlineLevel="0" collapsed="false">
      <c r="B19" s="6" t="s">
        <v>462</v>
      </c>
      <c r="D19" s="78" t="n">
        <f aca="false">IF(D18&lt;=180000,$G$7,(D18*INDEX($G$7:$G$12,MATCH(D18,$C$7:$C$12,1))-INDEX($H$7:$H$12,MATCH(D18,$C$7:$C$12,1)))/D18)</f>
        <v>0.155</v>
      </c>
      <c r="E19" s="78" t="n">
        <f aca="false">IF(E18&lt;=180000,$G$7,(E18*INDEX($G$7:$G$12,MATCH(E18,$C$7:$C$12,1))-INDEX($H$7:$H$12,MATCH(E18,$C$7:$C$12,1)))/E18)</f>
        <v>0.155</v>
      </c>
      <c r="F19" s="78" t="n">
        <f aca="false">IF(F18&lt;=180000,$G$7,(F18*INDEX($G$7:$G$12,MATCH(F18,$C$7:$C$12,1))-INDEX($H$7:$H$12,MATCH(F18,$C$7:$C$12,1)))/F18)</f>
        <v>0.155</v>
      </c>
      <c r="G19" s="78" t="n">
        <f aca="false">IF(G18&lt;=180000,$G$7,(G18*INDEX($G$7:$G$12,MATCH(G18,$C$7:$C$12,1))-INDEX($H$7:$H$12,MATCH(G18,$C$7:$C$12,1)))/G18)</f>
        <v>0.155</v>
      </c>
      <c r="H19" s="78" t="n">
        <f aca="false">IF(H18&lt;=180000,$G$7,(H18*INDEX($G$7:$G$12,MATCH(H18,$C$7:$C$12,1))-INDEX($H$7:$H$12,MATCH(H18,$C$7:$C$12,1)))/H18)</f>
        <v>0.155</v>
      </c>
      <c r="I19" s="78" t="n">
        <f aca="false">IF(I18&lt;=180000,$G$7,(I18*INDEX($G$7:$G$12,MATCH(I18,$C$7:$C$12,1))-INDEX($H$7:$H$12,MATCH(I18,$C$7:$C$12,1)))/I18)</f>
        <v>0.155</v>
      </c>
      <c r="J19" s="78" t="n">
        <f aca="false">IF(J18&lt;=180000,$G$7,(J18*INDEX($G$7:$G$12,MATCH(J18,$C$7:$C$12,1))-INDEX($H$7:$H$12,MATCH(J18,$C$7:$C$12,1)))/J18)</f>
        <v>0.158571428571429</v>
      </c>
      <c r="K19" s="78" t="n">
        <f aca="false">IF(K18&lt;=180000,$G$7,(K18*INDEX($G$7:$G$12,MATCH(K18,$C$7:$C$12,1))-INDEX($H$7:$H$12,MATCH(K18,$C$7:$C$12,1)))/K18)</f>
        <v>0.163333333333333</v>
      </c>
      <c r="L19" s="78" t="n">
        <f aca="false">IF(L18&lt;=180000,$G$7,(L18*INDEX($G$7:$G$12,MATCH(L18,$C$7:$C$12,1))-INDEX($H$7:$H$12,MATCH(L18,$C$7:$C$12,1)))/L18)</f>
        <v>0.166666666666667</v>
      </c>
      <c r="M19" s="78" t="n">
        <f aca="false">IF(M18&lt;=180000,$G$7,(M18*INDEX($G$7:$G$12,MATCH(M18,$C$7:$C$12,1))-INDEX($H$7:$H$12,MATCH(M18,$C$7:$C$12,1)))/M18)</f>
        <v>0.17025</v>
      </c>
      <c r="N19" s="78" t="n">
        <f aca="false">IF(N18&lt;=180000,$G$7,(N18*INDEX($G$7:$G$12,MATCH(N18,$C$7:$C$12,1))-INDEX($H$7:$H$12,MATCH(N18,$C$7:$C$12,1)))/N18)</f>
        <v>0.173846153846154</v>
      </c>
      <c r="O19" s="78" t="n">
        <f aca="false">IF(O18&lt;=180000,$G$7,(O18*INDEX($G$7:$G$12,MATCH(O18,$C$7:$C$12,1))-INDEX($H$7:$H$12,MATCH(O18,$C$7:$C$12,1)))/O18)</f>
        <v>0.176666666666667</v>
      </c>
      <c r="P19" s="78" t="n">
        <f aca="false">IF(P18&lt;=180000,$G$7,(P18*INDEX($G$7:$G$12,MATCH(P18,$C$7:$C$12,1))-INDEX($H$7:$H$12,MATCH(P18,$C$7:$C$12,1)))/P18)</f>
        <v>0.17890243902439</v>
      </c>
      <c r="Q19" s="78" t="n">
        <f aca="false">IF(Q18&lt;=180000,$G$7,(Q18*INDEX($G$7:$G$12,MATCH(Q18,$C$7:$C$12,1))-INDEX($H$7:$H$12,MATCH(Q18,$C$7:$C$12,1)))/Q18)</f>
        <v>0.1822</v>
      </c>
      <c r="R19" s="78" t="n">
        <f aca="false">IF(R18&lt;=180000,$G$7,(R18*INDEX($G$7:$G$12,MATCH(R18,$C$7:$C$12,1))-INDEX($H$7:$H$12,MATCH(R18,$C$7:$C$12,1)))/R18)</f>
        <v>0.186</v>
      </c>
      <c r="S19" s="78" t="n">
        <f aca="false">IF(S18&lt;=180000,$G$7,(S18*INDEX($G$7:$G$12,MATCH(S18,$C$7:$C$12,1))-INDEX($H$7:$H$12,MATCH(S18,$C$7:$C$12,1)))/S18)</f>
        <v>0.188943661971831</v>
      </c>
      <c r="T19" s="78" t="n">
        <f aca="false">IF(T18&lt;=180000,$G$7,(T18*INDEX($G$7:$G$12,MATCH(T18,$C$7:$C$12,1))-INDEX($H$7:$H$12,MATCH(T18,$C$7:$C$12,1)))/T18)</f>
        <v>0.19101226993865</v>
      </c>
      <c r="U19" s="78" t="n">
        <f aca="false">IF(U18&lt;=180000,$G$7,(U18*INDEX($G$7:$G$12,MATCH(U18,$C$7:$C$12,1))-INDEX($H$7:$H$12,MATCH(U18,$C$7:$C$12,1)))/U18)</f>
        <v>0.192608695652174</v>
      </c>
      <c r="V19" s="78" t="n">
        <f aca="false">IF(V18&lt;=180000,$G$7,(V18*INDEX($G$7:$G$12,MATCH(V18,$C$7:$C$12,1))-INDEX($H$7:$H$12,MATCH(V18,$C$7:$C$12,1)))/V18)</f>
        <v>0.193932038834951</v>
      </c>
      <c r="W19" s="78" t="n">
        <f aca="false">IF(W18&lt;=180000,$G$7,(W18*INDEX($G$7:$G$12,MATCH(W18,$C$7:$C$12,1))-INDEX($H$7:$H$12,MATCH(W18,$C$7:$C$12,1)))/W18)</f>
        <v>0.195043668122271</v>
      </c>
      <c r="X19" s="78" t="n">
        <f aca="false">IF(X18&lt;=180000,$G$7,(X18*INDEX($G$7:$G$12,MATCH(X18,$C$7:$C$12,1))-INDEX($H$7:$H$12,MATCH(X18,$C$7:$C$12,1)))/X18)</f>
        <v>0.197142857142857</v>
      </c>
      <c r="Y19" s="78" t="n">
        <f aca="false">IF(Y18&lt;=180000,$G$7,(Y18*INDEX($G$7:$G$12,MATCH(Y18,$C$7:$C$12,1))-INDEX($H$7:$H$12,MATCH(Y18,$C$7:$C$12,1)))/Y18)</f>
        <v>0.2</v>
      </c>
      <c r="Z19" s="78" t="n">
        <f aca="false">IF(Z18&lt;=180000,$G$7,(Z18*INDEX($G$7:$G$12,MATCH(Z18,$C$7:$C$12,1))-INDEX($H$7:$H$12,MATCH(Z18,$C$7:$C$12,1)))/Z18)</f>
        <v>0.2024</v>
      </c>
      <c r="AA19" s="78" t="n">
        <f aca="false">IF(AA18&lt;=180000,$G$7,(AA18*INDEX($G$7:$G$12,MATCH(AA18,$C$7:$C$12,1))-INDEX($H$7:$H$12,MATCH(AA18,$C$7:$C$12,1)))/AA18)</f>
        <v>0.204444444444444</v>
      </c>
    </row>
    <row r="20" customFormat="false" ht="15" hidden="false" customHeight="false" outlineLevel="0" collapsed="false">
      <c r="B20" s="62" t="s">
        <v>463</v>
      </c>
      <c r="C20" s="63"/>
      <c r="D20" s="64" t="n">
        <f aca="false">D17*D19</f>
        <v>0</v>
      </c>
      <c r="E20" s="64" t="n">
        <f aca="false">E17*E19</f>
        <v>0</v>
      </c>
      <c r="F20" s="64" t="n">
        <f aca="false">F17*F19</f>
        <v>0</v>
      </c>
      <c r="G20" s="64" t="n">
        <f aca="false">G17*G19</f>
        <v>3487.5</v>
      </c>
      <c r="H20" s="64" t="n">
        <f aca="false">H17*H19</f>
        <v>5812.5</v>
      </c>
      <c r="I20" s="64" t="n">
        <f aca="false">I17*I19</f>
        <v>6975</v>
      </c>
      <c r="J20" s="64" t="n">
        <f aca="false">J17*J19</f>
        <v>8325</v>
      </c>
      <c r="K20" s="64" t="n">
        <f aca="false">K17*K19</f>
        <v>11025</v>
      </c>
      <c r="L20" s="64" t="n">
        <f aca="false">L17*L19</f>
        <v>12500</v>
      </c>
      <c r="M20" s="64" t="n">
        <f aca="false">M17*M19</f>
        <v>15322.5</v>
      </c>
      <c r="N20" s="64" t="n">
        <f aca="false">N17*N19</f>
        <v>18253.8461538462</v>
      </c>
      <c r="O20" s="64" t="n">
        <f aca="false">O17*O19</f>
        <v>21200</v>
      </c>
      <c r="P20" s="64" t="n">
        <f aca="false">P17*P19</f>
        <v>24151.8292682927</v>
      </c>
      <c r="Q20" s="64" t="n">
        <f aca="false">Q17*Q19</f>
        <v>27330</v>
      </c>
      <c r="R20" s="64" t="n">
        <f aca="false">R17*R19</f>
        <v>30690</v>
      </c>
      <c r="S20" s="64" t="n">
        <f aca="false">S17*S19</f>
        <v>34009.8591549296</v>
      </c>
      <c r="T20" s="64" t="n">
        <f aca="false">T17*T19</f>
        <v>37247.3926380368</v>
      </c>
      <c r="U20" s="64" t="n">
        <f aca="false">U17*U19</f>
        <v>40447.8260869565</v>
      </c>
      <c r="V20" s="64" t="n">
        <f aca="false">V17*V19</f>
        <v>43634.7087378641</v>
      </c>
      <c r="W20" s="64" t="n">
        <f aca="false">W17*W19</f>
        <v>46810.480349345</v>
      </c>
      <c r="X20" s="64" t="n">
        <f aca="false">X17*X19</f>
        <v>50271.4285714286</v>
      </c>
      <c r="Y20" s="64" t="n">
        <f aca="false">Y17*Y19</f>
        <v>54000</v>
      </c>
      <c r="Z20" s="64" t="n">
        <f aca="false">Z17*Z19</f>
        <v>57684</v>
      </c>
      <c r="AA20" s="64" t="n">
        <f aca="false">AA17*AA19</f>
        <v>61333.3333333333</v>
      </c>
      <c r="AB20" s="65" t="n">
        <f aca="false">SUM(D20:O20)</f>
        <v>102901.346153846</v>
      </c>
      <c r="AC20" s="65" t="n">
        <f aca="false">SUM(P20:AA20)</f>
        <v>507610.858140187</v>
      </c>
      <c r="AD20" s="65" t="n">
        <f aca="false">SUM(D20:AA20)</f>
        <v>610512.204294033</v>
      </c>
    </row>
    <row r="22" customFormat="false" ht="15" hidden="false" customHeight="false" outlineLevel="0" collapsed="false">
      <c r="B22" s="8" t="s">
        <v>464</v>
      </c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</row>
    <row r="23" customFormat="false" ht="15" hidden="false" customHeight="false" outlineLevel="0" collapsed="false">
      <c r="B23" s="6" t="s">
        <v>465</v>
      </c>
      <c r="D23" s="78" t="n">
        <f aca="false">IF(D18&lt;=180000,$E$7,(D18*INDEX($E$7:$E$12,MATCH(D18,$C$7:$C$12,1))-INDEX($F$7:$F$12,MATCH(D18,$C$7:$C$12,1)))/D18)</f>
        <v>0.06</v>
      </c>
      <c r="E23" s="78" t="n">
        <f aca="false">IF(E18&lt;=180000,$E$7,(E18*INDEX($E$7:$E$12,MATCH(E18,$C$7:$C$12,1))-INDEX($F$7:$F$12,MATCH(E18,$C$7:$C$12,1)))/E18)</f>
        <v>0.06</v>
      </c>
      <c r="F23" s="78" t="n">
        <f aca="false">IF(F18&lt;=180000,$E$7,(F18*INDEX($E$7:$E$12,MATCH(F18,$C$7:$C$12,1))-INDEX($F$7:$F$12,MATCH(F18,$C$7:$C$12,1)))/F18)</f>
        <v>0.06</v>
      </c>
      <c r="G23" s="78" t="n">
        <f aca="false">IF(G18&lt;=180000,$E$7,(G18*INDEX($E$7:$E$12,MATCH(G18,$C$7:$C$12,1))-INDEX($F$7:$F$12,MATCH(G18,$C$7:$C$12,1)))/G18)</f>
        <v>0.06</v>
      </c>
      <c r="H23" s="78" t="n">
        <f aca="false">IF(H18&lt;=180000,$E$7,(H18*INDEX($E$7:$E$12,MATCH(H18,$C$7:$C$12,1))-INDEX($F$7:$F$12,MATCH(H18,$C$7:$C$12,1)))/H18)</f>
        <v>0.06</v>
      </c>
      <c r="I23" s="78" t="n">
        <f aca="false">IF(I18&lt;=180000,$E$7,(I18*INDEX($E$7:$E$12,MATCH(I18,$C$7:$C$12,1))-INDEX($F$7:$F$12,MATCH(I18,$C$7:$C$12,1)))/I18)</f>
        <v>0.06</v>
      </c>
      <c r="J23" s="78" t="n">
        <f aca="false">IF(J18&lt;=180000,$E$7,(J18*INDEX($E$7:$E$12,MATCH(J18,$C$7:$C$12,1))-INDEX($F$7:$F$12,MATCH(J18,$C$7:$C$12,1)))/J18)</f>
        <v>0.0674285714285714</v>
      </c>
      <c r="K23" s="78" t="n">
        <f aca="false">IF(K18&lt;=180000,$E$7,(K18*INDEX($E$7:$E$12,MATCH(K18,$C$7:$C$12,1))-INDEX($F$7:$F$12,MATCH(K18,$C$7:$C$12,1)))/K18)</f>
        <v>0.0773333333333333</v>
      </c>
      <c r="L23" s="78" t="n">
        <f aca="false">IF(L18&lt;=180000,$E$7,(L18*INDEX($E$7:$E$12,MATCH(L18,$C$7:$C$12,1))-INDEX($F$7:$F$12,MATCH(L18,$C$7:$C$12,1)))/L18)</f>
        <v>0.0842666666666667</v>
      </c>
      <c r="M23" s="78" t="n">
        <f aca="false">IF(M18&lt;=180000,$E$7,(M18*INDEX($E$7:$E$12,MATCH(M18,$C$7:$C$12,1))-INDEX($F$7:$F$12,MATCH(M18,$C$7:$C$12,1)))/M18)</f>
        <v>0.0909</v>
      </c>
      <c r="N23" s="78" t="n">
        <f aca="false">IF(N18&lt;=180000,$E$7,(N18*INDEX($E$7:$E$12,MATCH(N18,$C$7:$C$12,1))-INDEX($F$7:$F$12,MATCH(N18,$C$7:$C$12,1)))/N18)</f>
        <v>0.0973076923076923</v>
      </c>
      <c r="O23" s="78" t="n">
        <f aca="false">IF(O18&lt;=180000,$E$7,(O18*INDEX($E$7:$E$12,MATCH(O18,$C$7:$C$12,1))-INDEX($F$7:$F$12,MATCH(O18,$C$7:$C$12,1)))/O18)</f>
        <v>0.102333333333333</v>
      </c>
      <c r="P23" s="78" t="n">
        <f aca="false">IF(P18&lt;=180000,$E$7,(P18*INDEX($E$7:$E$12,MATCH(P18,$C$7:$C$12,1))-INDEX($F$7:$F$12,MATCH(P18,$C$7:$C$12,1)))/P18)</f>
        <v>0.106317073170732</v>
      </c>
      <c r="Q23" s="78" t="n">
        <f aca="false">IF(Q18&lt;=180000,$E$7,(Q18*INDEX($E$7:$E$12,MATCH(Q18,$C$7:$C$12,1))-INDEX($F$7:$F$12,MATCH(Q18,$C$7:$C$12,1)))/Q18)</f>
        <v>0.11248</v>
      </c>
      <c r="R23" s="78" t="n">
        <f aca="false">IF(R18&lt;=180000,$E$7,(R18*INDEX($E$7:$E$12,MATCH(R18,$C$7:$C$12,1))-INDEX($F$7:$F$12,MATCH(R18,$C$7:$C$12,1)))/R18)</f>
        <v>0.1204</v>
      </c>
      <c r="S23" s="78" t="n">
        <f aca="false">IF(S18&lt;=180000,$E$7,(S18*INDEX($E$7:$E$12,MATCH(S18,$C$7:$C$12,1))-INDEX($F$7:$F$12,MATCH(S18,$C$7:$C$12,1)))/S18)</f>
        <v>0.126535211267606</v>
      </c>
      <c r="T23" s="78" t="n">
        <f aca="false">IF(T18&lt;=180000,$E$7,(T18*INDEX($E$7:$E$12,MATCH(T18,$C$7:$C$12,1))-INDEX($F$7:$F$12,MATCH(T18,$C$7:$C$12,1)))/T18)</f>
        <v>0.130846625766871</v>
      </c>
      <c r="U23" s="78" t="n">
        <f aca="false">IF(U18&lt;=180000,$E$7,(U18*INDEX($E$7:$E$12,MATCH(U18,$C$7:$C$12,1))-INDEX($F$7:$F$12,MATCH(U18,$C$7:$C$12,1)))/U18)</f>
        <v>0.134173913043478</v>
      </c>
      <c r="V23" s="78" t="n">
        <f aca="false">IF(V18&lt;=180000,$E$7,(V18*INDEX($E$7:$E$12,MATCH(V18,$C$7:$C$12,1))-INDEX($F$7:$F$12,MATCH(V18,$C$7:$C$12,1)))/V18)</f>
        <v>0.136932038834951</v>
      </c>
      <c r="W23" s="78" t="n">
        <f aca="false">IF(W18&lt;=180000,$E$7,(W18*INDEX($E$7:$E$12,MATCH(W18,$C$7:$C$12,1))-INDEX($F$7:$F$12,MATCH(W18,$C$7:$C$12,1)))/W18)</f>
        <v>0.139248908296943</v>
      </c>
      <c r="X23" s="78" t="n">
        <f aca="false">IF(X18&lt;=180000,$E$7,(X18*INDEX($E$7:$E$12,MATCH(X18,$C$7:$C$12,1))-INDEX($F$7:$F$12,MATCH(X18,$C$7:$C$12,1)))/X18)</f>
        <v>0.14352380952381</v>
      </c>
      <c r="Y23" s="78" t="n">
        <f aca="false">IF(Y18&lt;=180000,$E$7,(Y18*INDEX($E$7:$E$12,MATCH(Y18,$C$7:$C$12,1))-INDEX($F$7:$F$12,MATCH(Y18,$C$7:$C$12,1)))/Y18)</f>
        <v>0.149304347826087</v>
      </c>
      <c r="Z23" s="78" t="n">
        <f aca="false">IF(Z18&lt;=180000,$E$7,(Z18*INDEX($E$7:$E$12,MATCH(Z18,$C$7:$C$12,1))-INDEX($F$7:$F$12,MATCH(Z18,$C$7:$C$12,1)))/Z18)</f>
        <v>0.15416</v>
      </c>
      <c r="AA23" s="78" t="n">
        <f aca="false">IF(AA18&lt;=180000,$E$7,(AA18*INDEX($E$7:$E$12,MATCH(AA18,$C$7:$C$12,1))-INDEX($F$7:$F$12,MATCH(AA18,$C$7:$C$12,1)))/AA18)</f>
        <v>0.158296296296296</v>
      </c>
    </row>
    <row r="24" customFormat="false" ht="15" hidden="false" customHeight="false" outlineLevel="0" collapsed="false">
      <c r="B24" s="6" t="s">
        <v>466</v>
      </c>
      <c r="D24" s="38" t="n">
        <f aca="false">D17*D23</f>
        <v>0</v>
      </c>
      <c r="E24" s="38" t="n">
        <f aca="false">E17*E23</f>
        <v>0</v>
      </c>
      <c r="F24" s="38" t="n">
        <f aca="false">F17*F23</f>
        <v>0</v>
      </c>
      <c r="G24" s="38" t="n">
        <f aca="false">G17*G23</f>
        <v>1350</v>
      </c>
      <c r="H24" s="38" t="n">
        <f aca="false">H17*H23</f>
        <v>2250</v>
      </c>
      <c r="I24" s="38" t="n">
        <f aca="false">I17*I23</f>
        <v>2700</v>
      </c>
      <c r="J24" s="38" t="n">
        <f aca="false">J17*J23</f>
        <v>3540</v>
      </c>
      <c r="K24" s="38" t="n">
        <f aca="false">K17*K23</f>
        <v>5220</v>
      </c>
      <c r="L24" s="38" t="n">
        <f aca="false">L17*L23</f>
        <v>6320</v>
      </c>
      <c r="M24" s="38" t="n">
        <f aca="false">M17*M23</f>
        <v>8181</v>
      </c>
      <c r="N24" s="38" t="n">
        <f aca="false">N17*N23</f>
        <v>10217.3076923077</v>
      </c>
      <c r="O24" s="38" t="n">
        <f aca="false">O17*O23</f>
        <v>12280</v>
      </c>
      <c r="P24" s="38" t="n">
        <f aca="false">P17*P23</f>
        <v>14352.8048780488</v>
      </c>
      <c r="Q24" s="38" t="n">
        <f aca="false">Q17*Q23</f>
        <v>16872</v>
      </c>
      <c r="R24" s="38" t="n">
        <f aca="false">R17*R23</f>
        <v>19866</v>
      </c>
      <c r="S24" s="38" t="n">
        <f aca="false">S17*S23</f>
        <v>22776.338028169</v>
      </c>
      <c r="T24" s="38" t="n">
        <f aca="false">T17*T23</f>
        <v>25515.0920245399</v>
      </c>
      <c r="U24" s="38" t="n">
        <f aca="false">U17*U23</f>
        <v>28176.5217391304</v>
      </c>
      <c r="V24" s="38" t="n">
        <f aca="false">V17*V23</f>
        <v>30809.7087378641</v>
      </c>
      <c r="W24" s="38" t="n">
        <f aca="false">W17*W23</f>
        <v>33419.7379912664</v>
      </c>
      <c r="X24" s="38" t="n">
        <f aca="false">X17*X23</f>
        <v>36598.5714285714</v>
      </c>
      <c r="Y24" s="38" t="n">
        <f aca="false">Y17*Y23</f>
        <v>40312.1739130435</v>
      </c>
      <c r="Z24" s="38" t="n">
        <f aca="false">Z17*Z23</f>
        <v>43935.6</v>
      </c>
      <c r="AA24" s="38" t="n">
        <f aca="false">AA17*AA23</f>
        <v>47488.8888888889</v>
      </c>
      <c r="AB24" s="46" t="n">
        <f aca="false">SUM(D24:O24)</f>
        <v>52058.3076923077</v>
      </c>
      <c r="AC24" s="46" t="n">
        <f aca="false">SUM(P24:AA24)</f>
        <v>360123.437629522</v>
      </c>
      <c r="AD24" s="46" t="n">
        <f aca="false">SUM(D24:AA24)</f>
        <v>412181.74532183</v>
      </c>
    </row>
    <row r="25" customFormat="false" ht="15" hidden="false" customHeight="false" outlineLevel="0" collapsed="false">
      <c r="B25" s="6" t="s">
        <v>467</v>
      </c>
      <c r="D25" s="13" t="n">
        <f aca="false">'Custos Fixos'!D39</f>
        <v>0</v>
      </c>
      <c r="E25" s="13" t="n">
        <f aca="false">'Custos Fixos'!E39</f>
        <v>0</v>
      </c>
      <c r="F25" s="13" t="n">
        <f aca="false">'Custos Fixos'!F39</f>
        <v>0</v>
      </c>
      <c r="G25" s="13" t="n">
        <f aca="false">'Custos Fixos'!G39</f>
        <v>2600</v>
      </c>
      <c r="H25" s="13" t="n">
        <f aca="false">'Custos Fixos'!H39</f>
        <v>2600</v>
      </c>
      <c r="I25" s="13" t="n">
        <f aca="false">'Custos Fixos'!I39</f>
        <v>2600</v>
      </c>
      <c r="J25" s="13" t="n">
        <f aca="false">'Custos Fixos'!J39</f>
        <v>2600</v>
      </c>
      <c r="K25" s="13" t="n">
        <f aca="false">'Custos Fixos'!K39</f>
        <v>2600</v>
      </c>
      <c r="L25" s="13" t="n">
        <f aca="false">'Custos Fixos'!L39</f>
        <v>2600</v>
      </c>
      <c r="M25" s="13" t="n">
        <f aca="false">'Custos Fixos'!M39</f>
        <v>7150</v>
      </c>
      <c r="N25" s="13" t="n">
        <f aca="false">'Custos Fixos'!N39</f>
        <v>7150</v>
      </c>
      <c r="O25" s="13" t="n">
        <f aca="false">'Custos Fixos'!O39</f>
        <v>7150</v>
      </c>
      <c r="P25" s="13" t="n">
        <f aca="false">'Custos Fixos'!P39</f>
        <v>7150</v>
      </c>
      <c r="Q25" s="13" t="n">
        <f aca="false">'Custos Fixos'!Q39</f>
        <v>7150</v>
      </c>
      <c r="R25" s="13" t="n">
        <f aca="false">'Custos Fixos'!R39</f>
        <v>7150</v>
      </c>
      <c r="S25" s="13" t="n">
        <f aca="false">'Custos Fixos'!S39</f>
        <v>7150</v>
      </c>
      <c r="T25" s="13" t="n">
        <f aca="false">'Custos Fixos'!T39</f>
        <v>7150</v>
      </c>
      <c r="U25" s="13" t="n">
        <f aca="false">'Custos Fixos'!U39</f>
        <v>7150</v>
      </c>
      <c r="V25" s="13" t="n">
        <f aca="false">'Custos Fixos'!V39</f>
        <v>9750</v>
      </c>
      <c r="W25" s="13" t="n">
        <f aca="false">'Custos Fixos'!W39</f>
        <v>9750</v>
      </c>
      <c r="X25" s="13" t="n">
        <f aca="false">'Custos Fixos'!X39</f>
        <v>9750</v>
      </c>
      <c r="Y25" s="13" t="n">
        <f aca="false">'Custos Fixos'!Y39</f>
        <v>9750</v>
      </c>
      <c r="Z25" s="13" t="n">
        <f aca="false">'Custos Fixos'!Z39</f>
        <v>9750</v>
      </c>
      <c r="AA25" s="13" t="n">
        <f aca="false">'Custos Fixos'!AA39</f>
        <v>9750</v>
      </c>
      <c r="AB25" s="46" t="n">
        <f aca="false">SUM(D25:O25)</f>
        <v>37050</v>
      </c>
      <c r="AC25" s="46" t="n">
        <f aca="false">SUM(P25:AA25)</f>
        <v>101400</v>
      </c>
      <c r="AD25" s="46" t="n">
        <f aca="false">SUM(D25:AA25)</f>
        <v>138450</v>
      </c>
    </row>
    <row r="26" customFormat="false" ht="15" hidden="false" customHeight="false" outlineLevel="0" collapsed="false">
      <c r="B26" s="6" t="s">
        <v>468</v>
      </c>
      <c r="D26" s="38" t="n">
        <f aca="false">MAX(0,Premissas!$C$47*D18/12-D25)</f>
        <v>0</v>
      </c>
      <c r="E26" s="38" t="n">
        <f aca="false">MAX(0,Premissas!$C$47*E18/12-E25)</f>
        <v>0</v>
      </c>
      <c r="F26" s="38" t="n">
        <f aca="false">MAX(0,Premissas!$C$47*F18/12-F25)</f>
        <v>0</v>
      </c>
      <c r="G26" s="38" t="n">
        <f aca="false">MAX(0,Premissas!$C$47*G18/12-G25)</f>
        <v>0</v>
      </c>
      <c r="H26" s="38" t="n">
        <f aca="false">MAX(0,Premissas!$C$47*H18/12-H25)</f>
        <v>0</v>
      </c>
      <c r="I26" s="38" t="n">
        <f aca="false">MAX(0,Premissas!$C$47*I18/12-I25)</f>
        <v>760.000000000001</v>
      </c>
      <c r="J26" s="38" t="n">
        <f aca="false">MAX(0,Premissas!$C$47*J18/12-J25)</f>
        <v>2300</v>
      </c>
      <c r="K26" s="38" t="n">
        <f aca="false">MAX(0,Premissas!$C$47*K18/12-K25)</f>
        <v>3700</v>
      </c>
      <c r="L26" s="38" t="n">
        <f aca="false">MAX(0,Premissas!$C$47*L18/12-L25)</f>
        <v>5275</v>
      </c>
      <c r="M26" s="38" t="n">
        <f aca="false">MAX(0,Premissas!$C$47*M18/12-M25)</f>
        <v>2183.33333333333</v>
      </c>
      <c r="N26" s="38" t="n">
        <f aca="false">MAX(0,Premissas!$C$47*N18/12-N25)</f>
        <v>3770</v>
      </c>
      <c r="O26" s="38" t="n">
        <f aca="false">MAX(0,Premissas!$C$47*O18/12-O25)</f>
        <v>5450</v>
      </c>
      <c r="P26" s="38" t="n">
        <f aca="false">MAX(0,Premissas!$C$47*P18/12-P25)</f>
        <v>7200</v>
      </c>
      <c r="Q26" s="38" t="n">
        <f aca="false">MAX(0,Premissas!$C$47*Q18/12-Q25)</f>
        <v>10350</v>
      </c>
      <c r="R26" s="38" t="n">
        <f aca="false">MAX(0,Premissas!$C$47*R18/12-R25)</f>
        <v>13850</v>
      </c>
      <c r="S26" s="38" t="n">
        <f aca="false">MAX(0,Premissas!$C$47*S18/12-S25)</f>
        <v>17700</v>
      </c>
      <c r="T26" s="38" t="n">
        <f aca="false">MAX(0,Premissas!$C$47*T18/12-T25)</f>
        <v>21375</v>
      </c>
      <c r="U26" s="38" t="n">
        <f aca="false">MAX(0,Premissas!$C$47*U18/12-U25)</f>
        <v>25050</v>
      </c>
      <c r="V26" s="38" t="n">
        <f aca="false">MAX(0,Premissas!$C$47*V18/12-V25)</f>
        <v>26300</v>
      </c>
      <c r="W26" s="38" t="n">
        <f aca="false">MAX(0,Premissas!$C$47*W18/12-W25)</f>
        <v>30325</v>
      </c>
      <c r="X26" s="38" t="n">
        <f aca="false">MAX(0,Premissas!$C$47*X18/12-X25)</f>
        <v>34350</v>
      </c>
      <c r="Y26" s="38" t="n">
        <f aca="false">MAX(0,Premissas!$C$47*Y18/12-Y25)</f>
        <v>38550</v>
      </c>
      <c r="Z26" s="38" t="n">
        <f aca="false">MAX(0,Premissas!$C$47*Z18/12-Z25)</f>
        <v>42750</v>
      </c>
      <c r="AA26" s="38" t="n">
        <f aca="false">MAX(0,Premissas!$C$47*AA18/12-AA25)</f>
        <v>46950</v>
      </c>
      <c r="AB26" s="46" t="n">
        <f aca="false">SUM(D26:O26)</f>
        <v>23438.3333333333</v>
      </c>
      <c r="AC26" s="46" t="n">
        <f aca="false">SUM(P26:AA26)</f>
        <v>314750</v>
      </c>
      <c r="AD26" s="46" t="n">
        <f aca="false">SUM(D26:AA26)</f>
        <v>338188.333333333</v>
      </c>
    </row>
    <row r="27" customFormat="false" ht="15" hidden="false" customHeight="false" outlineLevel="0" collapsed="false">
      <c r="B27" s="6" t="s">
        <v>469</v>
      </c>
      <c r="D27" s="38" t="n">
        <f aca="false">D26/Premissas!$C$48</f>
        <v>0</v>
      </c>
      <c r="E27" s="38" t="n">
        <f aca="false">E26/Premissas!$C$48</f>
        <v>0</v>
      </c>
      <c r="F27" s="38" t="n">
        <f aca="false">F26/Premissas!$C$48</f>
        <v>0</v>
      </c>
      <c r="G27" s="38" t="n">
        <f aca="false">G26/Premissas!$C$48</f>
        <v>0</v>
      </c>
      <c r="H27" s="38" t="n">
        <f aca="false">H26/Premissas!$C$48</f>
        <v>0</v>
      </c>
      <c r="I27" s="38" t="n">
        <f aca="false">I26/Premissas!$C$48</f>
        <v>190</v>
      </c>
      <c r="J27" s="38" t="n">
        <f aca="false">J26/Premissas!$C$48</f>
        <v>575</v>
      </c>
      <c r="K27" s="38" t="n">
        <f aca="false">K26/Premissas!$C$48</f>
        <v>925</v>
      </c>
      <c r="L27" s="38" t="n">
        <f aca="false">L26/Premissas!$C$48</f>
        <v>1318.75</v>
      </c>
      <c r="M27" s="38" t="n">
        <f aca="false">M26/Premissas!$C$48</f>
        <v>545.833333333334</v>
      </c>
      <c r="N27" s="38" t="n">
        <f aca="false">N26/Premissas!$C$48</f>
        <v>942.500000000001</v>
      </c>
      <c r="O27" s="38" t="n">
        <f aca="false">O26/Premissas!$C$48</f>
        <v>1362.5</v>
      </c>
      <c r="P27" s="38" t="n">
        <f aca="false">P26/Premissas!$C$48</f>
        <v>1800</v>
      </c>
      <c r="Q27" s="38" t="n">
        <f aca="false">Q26/Premissas!$C$48</f>
        <v>2587.5</v>
      </c>
      <c r="R27" s="38" t="n">
        <f aca="false">R26/Premissas!$C$48</f>
        <v>3462.5</v>
      </c>
      <c r="S27" s="38" t="n">
        <f aca="false">S26/Premissas!$C$48</f>
        <v>4425</v>
      </c>
      <c r="T27" s="38" t="n">
        <f aca="false">T26/Premissas!$C$48</f>
        <v>5343.75</v>
      </c>
      <c r="U27" s="38" t="n">
        <f aca="false">U26/Premissas!$C$48</f>
        <v>6262.5</v>
      </c>
      <c r="V27" s="38" t="n">
        <f aca="false">V26/Premissas!$C$48</f>
        <v>6575</v>
      </c>
      <c r="W27" s="38" t="n">
        <f aca="false">W26/Premissas!$C$48</f>
        <v>7581.25</v>
      </c>
      <c r="X27" s="38" t="n">
        <f aca="false">X26/Premissas!$C$48</f>
        <v>8587.5</v>
      </c>
      <c r="Y27" s="38" t="n">
        <f aca="false">Y26/Premissas!$C$48</f>
        <v>9637.5</v>
      </c>
      <c r="Z27" s="38" t="n">
        <f aca="false">Z26/Premissas!$C$48</f>
        <v>10687.5</v>
      </c>
      <c r="AA27" s="38" t="n">
        <f aca="false">AA26/Premissas!$C$48</f>
        <v>11737.5</v>
      </c>
      <c r="AB27" s="46" t="n">
        <f aca="false">AVERAGE(D27:O27)</f>
        <v>488.298611111111</v>
      </c>
      <c r="AC27" s="46" t="n">
        <f aca="false">AVERAGE(P27:AA27)</f>
        <v>6557.29166666667</v>
      </c>
      <c r="AD27" s="46" t="n">
        <f aca="false">AVERAGE(D27:AA27)</f>
        <v>3522.79513888889</v>
      </c>
    </row>
    <row r="28" customFormat="false" ht="15" hidden="false" customHeight="false" outlineLevel="0" collapsed="false">
      <c r="B28" s="6" t="s">
        <v>470</v>
      </c>
      <c r="D28" s="38" t="n">
        <f aca="false">Premissas!$C$50*MIN(D27,Premissas!$C$49)*Premissas!$C$48</f>
        <v>0</v>
      </c>
      <c r="E28" s="38" t="n">
        <f aca="false">Premissas!$C$50*MIN(E27,Premissas!$C$49)*Premissas!$C$48</f>
        <v>0</v>
      </c>
      <c r="F28" s="38" t="n">
        <f aca="false">Premissas!$C$50*MIN(F27,Premissas!$C$49)*Premissas!$C$48</f>
        <v>0</v>
      </c>
      <c r="G28" s="38" t="n">
        <f aca="false">Premissas!$C$50*MIN(G27,Premissas!$C$49)*Premissas!$C$48</f>
        <v>0</v>
      </c>
      <c r="H28" s="38" t="n">
        <f aca="false">Premissas!$C$50*MIN(H27,Premissas!$C$49)*Premissas!$C$48</f>
        <v>0</v>
      </c>
      <c r="I28" s="38" t="n">
        <f aca="false">Premissas!$C$50*MIN(I27,Premissas!$C$49)*Premissas!$C$48</f>
        <v>83.6000000000001</v>
      </c>
      <c r="J28" s="38" t="n">
        <f aca="false">Premissas!$C$50*MIN(J27,Premissas!$C$49)*Premissas!$C$48</f>
        <v>253</v>
      </c>
      <c r="K28" s="38" t="n">
        <f aca="false">Premissas!$C$50*MIN(K27,Premissas!$C$49)*Premissas!$C$48</f>
        <v>407</v>
      </c>
      <c r="L28" s="38" t="n">
        <f aca="false">Premissas!$C$50*MIN(L27,Premissas!$C$49)*Premissas!$C$48</f>
        <v>580.25</v>
      </c>
      <c r="M28" s="38" t="n">
        <f aca="false">Premissas!$C$50*MIN(M27,Premissas!$C$49)*Premissas!$C$48</f>
        <v>240.166666666667</v>
      </c>
      <c r="N28" s="38" t="n">
        <f aca="false">Premissas!$C$50*MIN(N27,Premissas!$C$49)*Premissas!$C$48</f>
        <v>414.7</v>
      </c>
      <c r="O28" s="38" t="n">
        <f aca="false">Premissas!$C$50*MIN(O27,Premissas!$C$49)*Premissas!$C$48</f>
        <v>599.5</v>
      </c>
      <c r="P28" s="38" t="n">
        <f aca="false">Premissas!$C$50*MIN(P27,Premissas!$C$49)*Premissas!$C$48</f>
        <v>792</v>
      </c>
      <c r="Q28" s="38" t="n">
        <f aca="false">Premissas!$C$50*MIN(Q27,Premissas!$C$49)*Premissas!$C$48</f>
        <v>1138.5</v>
      </c>
      <c r="R28" s="38" t="n">
        <f aca="false">Premissas!$C$50*MIN(R27,Premissas!$C$49)*Premissas!$C$48</f>
        <v>1523.5</v>
      </c>
      <c r="S28" s="38" t="n">
        <f aca="false">Premissas!$C$50*MIN(S27,Premissas!$C$49)*Premissas!$C$48</f>
        <v>1947</v>
      </c>
      <c r="T28" s="38" t="n">
        <f aca="false">Premissas!$C$50*MIN(T27,Premissas!$C$49)*Premissas!$C$48</f>
        <v>2351.25</v>
      </c>
      <c r="U28" s="38" t="n">
        <f aca="false">Premissas!$C$50*MIN(U27,Premissas!$C$49)*Premissas!$C$48</f>
        <v>2755.5</v>
      </c>
      <c r="V28" s="38" t="n">
        <f aca="false">Premissas!$C$50*MIN(V27,Premissas!$C$49)*Premissas!$C$48</f>
        <v>2893</v>
      </c>
      <c r="W28" s="38" t="n">
        <f aca="false">Premissas!$C$50*MIN(W27,Premissas!$C$49)*Premissas!$C$48</f>
        <v>3335.75</v>
      </c>
      <c r="X28" s="38" t="n">
        <f aca="false">Premissas!$C$50*MIN(X27,Premissas!$C$49)*Premissas!$C$48</f>
        <v>3729.242</v>
      </c>
      <c r="Y28" s="38" t="n">
        <f aca="false">Premissas!$C$50*MIN(Y27,Premissas!$C$49)*Premissas!$C$48</f>
        <v>3729.242</v>
      </c>
      <c r="Z28" s="38" t="n">
        <f aca="false">Premissas!$C$50*MIN(Z27,Premissas!$C$49)*Premissas!$C$48</f>
        <v>3729.242</v>
      </c>
      <c r="AA28" s="38" t="n">
        <f aca="false">Premissas!$C$50*MIN(AA27,Premissas!$C$49)*Premissas!$C$48</f>
        <v>3729.242</v>
      </c>
      <c r="AB28" s="46" t="n">
        <f aca="false">SUM(D28:O28)</f>
        <v>2578.21666666667</v>
      </c>
      <c r="AC28" s="46" t="n">
        <f aca="false">SUM(P28:AA28)</f>
        <v>31653.468</v>
      </c>
      <c r="AD28" s="46" t="n">
        <f aca="false">SUM(D28:AA28)</f>
        <v>34231.6846666667</v>
      </c>
    </row>
    <row r="29" customFormat="false" ht="15" hidden="false" customHeight="false" outlineLevel="0" collapsed="false">
      <c r="B29" s="6" t="s">
        <v>471</v>
      </c>
      <c r="D29" s="38" t="n">
        <f aca="false">MAX(0,IF(MAX(0,D27-Premissas!$C$50*MIN(D27,Premissas!$C$49))&lt;=2428.8,0,IF(MAX(0,D27-Premissas!$C$50*MIN(D27,Premissas!$C$49))&lt;=2826.65,MAX(0,D27-Premissas!$C$50*MIN(D27,Premissas!$C$49))*0.075-182.16,IF(MAX(0,D27-Premissas!$C$50*MIN(D27,Premissas!$C$49))&lt;=3751.05,MAX(0,D27-Premissas!$C$50*MIN(D27,Premissas!$C$49))*0.15-394.16,IF(MAX(0,D27-Premissas!$C$50*MIN(D27,Premissas!$C$49))&lt;=4664.68,MAX(0,D27-Premissas!$C$50*MIN(D27,Premissas!$C$49))*0.225-675.49,MAX(0,D27-Premissas!$C$50*MIN(D27,Premissas!$C$49))*0.275-908.73))))-IF(D27&lt;=5000,312.89,IF(D27&lt;=7350,MAX(0,978.62-0.133145*D27),0)))*Premissas!$C$48</f>
        <v>0</v>
      </c>
      <c r="E29" s="38" t="n">
        <f aca="false">MAX(0,IF(MAX(0,E27-Premissas!$C$50*MIN(E27,Premissas!$C$49))&lt;=2428.8,0,IF(MAX(0,E27-Premissas!$C$50*MIN(E27,Premissas!$C$49))&lt;=2826.65,MAX(0,E27-Premissas!$C$50*MIN(E27,Premissas!$C$49))*0.075-182.16,IF(MAX(0,E27-Premissas!$C$50*MIN(E27,Premissas!$C$49))&lt;=3751.05,MAX(0,E27-Premissas!$C$50*MIN(E27,Premissas!$C$49))*0.15-394.16,IF(MAX(0,E27-Premissas!$C$50*MIN(E27,Premissas!$C$49))&lt;=4664.68,MAX(0,E27-Premissas!$C$50*MIN(E27,Premissas!$C$49))*0.225-675.49,MAX(0,E27-Premissas!$C$50*MIN(E27,Premissas!$C$49))*0.275-908.73))))-IF(E27&lt;=5000,312.89,IF(E27&lt;=7350,MAX(0,978.62-0.133145*E27),0)))*Premissas!$C$48</f>
        <v>0</v>
      </c>
      <c r="F29" s="38" t="n">
        <f aca="false">MAX(0,IF(MAX(0,F27-Premissas!$C$50*MIN(F27,Premissas!$C$49))&lt;=2428.8,0,IF(MAX(0,F27-Premissas!$C$50*MIN(F27,Premissas!$C$49))&lt;=2826.65,MAX(0,F27-Premissas!$C$50*MIN(F27,Premissas!$C$49))*0.075-182.16,IF(MAX(0,F27-Premissas!$C$50*MIN(F27,Premissas!$C$49))&lt;=3751.05,MAX(0,F27-Premissas!$C$50*MIN(F27,Premissas!$C$49))*0.15-394.16,IF(MAX(0,F27-Premissas!$C$50*MIN(F27,Premissas!$C$49))&lt;=4664.68,MAX(0,F27-Premissas!$C$50*MIN(F27,Premissas!$C$49))*0.225-675.49,MAX(0,F27-Premissas!$C$50*MIN(F27,Premissas!$C$49))*0.275-908.73))))-IF(F27&lt;=5000,312.89,IF(F27&lt;=7350,MAX(0,978.62-0.133145*F27),0)))*Premissas!$C$48</f>
        <v>0</v>
      </c>
      <c r="G29" s="38" t="n">
        <f aca="false">MAX(0,IF(MAX(0,G27-Premissas!$C$50*MIN(G27,Premissas!$C$49))&lt;=2428.8,0,IF(MAX(0,G27-Premissas!$C$50*MIN(G27,Premissas!$C$49))&lt;=2826.65,MAX(0,G27-Premissas!$C$50*MIN(G27,Premissas!$C$49))*0.075-182.16,IF(MAX(0,G27-Premissas!$C$50*MIN(G27,Premissas!$C$49))&lt;=3751.05,MAX(0,G27-Premissas!$C$50*MIN(G27,Premissas!$C$49))*0.15-394.16,IF(MAX(0,G27-Premissas!$C$50*MIN(G27,Premissas!$C$49))&lt;=4664.68,MAX(0,G27-Premissas!$C$50*MIN(G27,Premissas!$C$49))*0.225-675.49,MAX(0,G27-Premissas!$C$50*MIN(G27,Premissas!$C$49))*0.275-908.73))))-IF(G27&lt;=5000,312.89,IF(G27&lt;=7350,MAX(0,978.62-0.133145*G27),0)))*Premissas!$C$48</f>
        <v>0</v>
      </c>
      <c r="H29" s="38" t="n">
        <f aca="false">MAX(0,IF(MAX(0,H27-Premissas!$C$50*MIN(H27,Premissas!$C$49))&lt;=2428.8,0,IF(MAX(0,H27-Premissas!$C$50*MIN(H27,Premissas!$C$49))&lt;=2826.65,MAX(0,H27-Premissas!$C$50*MIN(H27,Premissas!$C$49))*0.075-182.16,IF(MAX(0,H27-Premissas!$C$50*MIN(H27,Premissas!$C$49))&lt;=3751.05,MAX(0,H27-Premissas!$C$50*MIN(H27,Premissas!$C$49))*0.15-394.16,IF(MAX(0,H27-Premissas!$C$50*MIN(H27,Premissas!$C$49))&lt;=4664.68,MAX(0,H27-Premissas!$C$50*MIN(H27,Premissas!$C$49))*0.225-675.49,MAX(0,H27-Premissas!$C$50*MIN(H27,Premissas!$C$49))*0.275-908.73))))-IF(H27&lt;=5000,312.89,IF(H27&lt;=7350,MAX(0,978.62-0.133145*H27),0)))*Premissas!$C$48</f>
        <v>0</v>
      </c>
      <c r="I29" s="38" t="n">
        <f aca="false">MAX(0,IF(MAX(0,I27-Premissas!$C$50*MIN(I27,Premissas!$C$49))&lt;=2428.8,0,IF(MAX(0,I27-Premissas!$C$50*MIN(I27,Premissas!$C$49))&lt;=2826.65,MAX(0,I27-Premissas!$C$50*MIN(I27,Premissas!$C$49))*0.075-182.16,IF(MAX(0,I27-Premissas!$C$50*MIN(I27,Premissas!$C$49))&lt;=3751.05,MAX(0,I27-Premissas!$C$50*MIN(I27,Premissas!$C$49))*0.15-394.16,IF(MAX(0,I27-Premissas!$C$50*MIN(I27,Premissas!$C$49))&lt;=4664.68,MAX(0,I27-Premissas!$C$50*MIN(I27,Premissas!$C$49))*0.225-675.49,MAX(0,I27-Premissas!$C$50*MIN(I27,Premissas!$C$49))*0.275-908.73))))-IF(I27&lt;=5000,312.89,IF(I27&lt;=7350,MAX(0,978.62-0.133145*I27),0)))*Premissas!$C$48</f>
        <v>0</v>
      </c>
      <c r="J29" s="38" t="n">
        <f aca="false">MAX(0,IF(MAX(0,J27-Premissas!$C$50*MIN(J27,Premissas!$C$49))&lt;=2428.8,0,IF(MAX(0,J27-Premissas!$C$50*MIN(J27,Premissas!$C$49))&lt;=2826.65,MAX(0,J27-Premissas!$C$50*MIN(J27,Premissas!$C$49))*0.075-182.16,IF(MAX(0,J27-Premissas!$C$50*MIN(J27,Premissas!$C$49))&lt;=3751.05,MAX(0,J27-Premissas!$C$50*MIN(J27,Premissas!$C$49))*0.15-394.16,IF(MAX(0,J27-Premissas!$C$50*MIN(J27,Premissas!$C$49))&lt;=4664.68,MAX(0,J27-Premissas!$C$50*MIN(J27,Premissas!$C$49))*0.225-675.49,MAX(0,J27-Premissas!$C$50*MIN(J27,Premissas!$C$49))*0.275-908.73))))-IF(J27&lt;=5000,312.89,IF(J27&lt;=7350,MAX(0,978.62-0.133145*J27),0)))*Premissas!$C$48</f>
        <v>0</v>
      </c>
      <c r="K29" s="38" t="n">
        <f aca="false">MAX(0,IF(MAX(0,K27-Premissas!$C$50*MIN(K27,Premissas!$C$49))&lt;=2428.8,0,IF(MAX(0,K27-Premissas!$C$50*MIN(K27,Premissas!$C$49))&lt;=2826.65,MAX(0,K27-Premissas!$C$50*MIN(K27,Premissas!$C$49))*0.075-182.16,IF(MAX(0,K27-Premissas!$C$50*MIN(K27,Premissas!$C$49))&lt;=3751.05,MAX(0,K27-Premissas!$C$50*MIN(K27,Premissas!$C$49))*0.15-394.16,IF(MAX(0,K27-Premissas!$C$50*MIN(K27,Premissas!$C$49))&lt;=4664.68,MAX(0,K27-Premissas!$C$50*MIN(K27,Premissas!$C$49))*0.225-675.49,MAX(0,K27-Premissas!$C$50*MIN(K27,Premissas!$C$49))*0.275-908.73))))-IF(K27&lt;=5000,312.89,IF(K27&lt;=7350,MAX(0,978.62-0.133145*K27),0)))*Premissas!$C$48</f>
        <v>0</v>
      </c>
      <c r="L29" s="38" t="n">
        <f aca="false">MAX(0,IF(MAX(0,L27-Premissas!$C$50*MIN(L27,Premissas!$C$49))&lt;=2428.8,0,IF(MAX(0,L27-Premissas!$C$50*MIN(L27,Premissas!$C$49))&lt;=2826.65,MAX(0,L27-Premissas!$C$50*MIN(L27,Premissas!$C$49))*0.075-182.16,IF(MAX(0,L27-Premissas!$C$50*MIN(L27,Premissas!$C$49))&lt;=3751.05,MAX(0,L27-Premissas!$C$50*MIN(L27,Premissas!$C$49))*0.15-394.16,IF(MAX(0,L27-Premissas!$C$50*MIN(L27,Premissas!$C$49))&lt;=4664.68,MAX(0,L27-Premissas!$C$50*MIN(L27,Premissas!$C$49))*0.225-675.49,MAX(0,L27-Premissas!$C$50*MIN(L27,Premissas!$C$49))*0.275-908.73))))-IF(L27&lt;=5000,312.89,IF(L27&lt;=7350,MAX(0,978.62-0.133145*L27),0)))*Premissas!$C$48</f>
        <v>0</v>
      </c>
      <c r="M29" s="38" t="n">
        <f aca="false">MAX(0,IF(MAX(0,M27-Premissas!$C$50*MIN(M27,Premissas!$C$49))&lt;=2428.8,0,IF(MAX(0,M27-Premissas!$C$50*MIN(M27,Premissas!$C$49))&lt;=2826.65,MAX(0,M27-Premissas!$C$50*MIN(M27,Premissas!$C$49))*0.075-182.16,IF(MAX(0,M27-Premissas!$C$50*MIN(M27,Premissas!$C$49))&lt;=3751.05,MAX(0,M27-Premissas!$C$50*MIN(M27,Premissas!$C$49))*0.15-394.16,IF(MAX(0,M27-Premissas!$C$50*MIN(M27,Premissas!$C$49))&lt;=4664.68,MAX(0,M27-Premissas!$C$50*MIN(M27,Premissas!$C$49))*0.225-675.49,MAX(0,M27-Premissas!$C$50*MIN(M27,Premissas!$C$49))*0.275-908.73))))-IF(M27&lt;=5000,312.89,IF(M27&lt;=7350,MAX(0,978.62-0.133145*M27),0)))*Premissas!$C$48</f>
        <v>0</v>
      </c>
      <c r="N29" s="38" t="n">
        <f aca="false">MAX(0,IF(MAX(0,N27-Premissas!$C$50*MIN(N27,Premissas!$C$49))&lt;=2428.8,0,IF(MAX(0,N27-Premissas!$C$50*MIN(N27,Premissas!$C$49))&lt;=2826.65,MAX(0,N27-Premissas!$C$50*MIN(N27,Premissas!$C$49))*0.075-182.16,IF(MAX(0,N27-Premissas!$C$50*MIN(N27,Premissas!$C$49))&lt;=3751.05,MAX(0,N27-Premissas!$C$50*MIN(N27,Premissas!$C$49))*0.15-394.16,IF(MAX(0,N27-Premissas!$C$50*MIN(N27,Premissas!$C$49))&lt;=4664.68,MAX(0,N27-Premissas!$C$50*MIN(N27,Premissas!$C$49))*0.225-675.49,MAX(0,N27-Premissas!$C$50*MIN(N27,Premissas!$C$49))*0.275-908.73))))-IF(N27&lt;=5000,312.89,IF(N27&lt;=7350,MAX(0,978.62-0.133145*N27),0)))*Premissas!$C$48</f>
        <v>0</v>
      </c>
      <c r="O29" s="38" t="n">
        <f aca="false">MAX(0,IF(MAX(0,O27-Premissas!$C$50*MIN(O27,Premissas!$C$49))&lt;=2428.8,0,IF(MAX(0,O27-Premissas!$C$50*MIN(O27,Premissas!$C$49))&lt;=2826.65,MAX(0,O27-Premissas!$C$50*MIN(O27,Premissas!$C$49))*0.075-182.16,IF(MAX(0,O27-Premissas!$C$50*MIN(O27,Premissas!$C$49))&lt;=3751.05,MAX(0,O27-Premissas!$C$50*MIN(O27,Premissas!$C$49))*0.15-394.16,IF(MAX(0,O27-Premissas!$C$50*MIN(O27,Premissas!$C$49))&lt;=4664.68,MAX(0,O27-Premissas!$C$50*MIN(O27,Premissas!$C$49))*0.225-675.49,MAX(0,O27-Premissas!$C$50*MIN(O27,Premissas!$C$49))*0.275-908.73))))-IF(O27&lt;=5000,312.89,IF(O27&lt;=7350,MAX(0,978.62-0.133145*O27),0)))*Premissas!$C$48</f>
        <v>0</v>
      </c>
      <c r="P29" s="38" t="n">
        <f aca="false">MAX(0,IF(MAX(0,P27-Premissas!$C$50*MIN(P27,Premissas!$C$49))&lt;=2428.8,0,IF(MAX(0,P27-Premissas!$C$50*MIN(P27,Premissas!$C$49))&lt;=2826.65,MAX(0,P27-Premissas!$C$50*MIN(P27,Premissas!$C$49))*0.075-182.16,IF(MAX(0,P27-Premissas!$C$50*MIN(P27,Premissas!$C$49))&lt;=3751.05,MAX(0,P27-Premissas!$C$50*MIN(P27,Premissas!$C$49))*0.15-394.16,IF(MAX(0,P27-Premissas!$C$50*MIN(P27,Premissas!$C$49))&lt;=4664.68,MAX(0,P27-Premissas!$C$50*MIN(P27,Premissas!$C$49))*0.225-675.49,MAX(0,P27-Premissas!$C$50*MIN(P27,Premissas!$C$49))*0.275-908.73))))-IF(P27&lt;=5000,312.89,IF(P27&lt;=7350,MAX(0,978.62-0.133145*P27),0)))*Premissas!$C$48</f>
        <v>0</v>
      </c>
      <c r="Q29" s="38" t="n">
        <f aca="false">MAX(0,IF(MAX(0,Q27-Premissas!$C$50*MIN(Q27,Premissas!$C$49))&lt;=2428.8,0,IF(MAX(0,Q27-Premissas!$C$50*MIN(Q27,Premissas!$C$49))&lt;=2826.65,MAX(0,Q27-Premissas!$C$50*MIN(Q27,Premissas!$C$49))*0.075-182.16,IF(MAX(0,Q27-Premissas!$C$50*MIN(Q27,Premissas!$C$49))&lt;=3751.05,MAX(0,Q27-Premissas!$C$50*MIN(Q27,Premissas!$C$49))*0.15-394.16,IF(MAX(0,Q27-Premissas!$C$50*MIN(Q27,Premissas!$C$49))&lt;=4664.68,MAX(0,Q27-Premissas!$C$50*MIN(Q27,Premissas!$C$49))*0.225-675.49,MAX(0,Q27-Premissas!$C$50*MIN(Q27,Premissas!$C$49))*0.275-908.73))))-IF(Q27&lt;=5000,312.89,IF(Q27&lt;=7350,MAX(0,978.62-0.133145*Q27),0)))*Premissas!$C$48</f>
        <v>0</v>
      </c>
      <c r="R29" s="38" t="n">
        <f aca="false">MAX(0,IF(MAX(0,R27-Premissas!$C$50*MIN(R27,Premissas!$C$49))&lt;=2428.8,0,IF(MAX(0,R27-Premissas!$C$50*MIN(R27,Premissas!$C$49))&lt;=2826.65,MAX(0,R27-Premissas!$C$50*MIN(R27,Premissas!$C$49))*0.075-182.16,IF(MAX(0,R27-Premissas!$C$50*MIN(R27,Premissas!$C$49))&lt;=3751.05,MAX(0,R27-Premissas!$C$50*MIN(R27,Premissas!$C$49))*0.15-394.16,IF(MAX(0,R27-Premissas!$C$50*MIN(R27,Premissas!$C$49))&lt;=4664.68,MAX(0,R27-Premissas!$C$50*MIN(R27,Premissas!$C$49))*0.225-675.49,MAX(0,R27-Premissas!$C$50*MIN(R27,Premissas!$C$49))*0.275-908.73))))-IF(R27&lt;=5000,312.89,IF(R27&lt;=7350,MAX(0,978.62-0.133145*R27),0)))*Premissas!$C$48</f>
        <v>0</v>
      </c>
      <c r="S29" s="38" t="n">
        <f aca="false">MAX(0,IF(MAX(0,S27-Premissas!$C$50*MIN(S27,Premissas!$C$49))&lt;=2428.8,0,IF(MAX(0,S27-Premissas!$C$50*MIN(S27,Premissas!$C$49))&lt;=2826.65,MAX(0,S27-Premissas!$C$50*MIN(S27,Premissas!$C$49))*0.075-182.16,IF(MAX(0,S27-Premissas!$C$50*MIN(S27,Premissas!$C$49))&lt;=3751.05,MAX(0,S27-Premissas!$C$50*MIN(S27,Premissas!$C$49))*0.15-394.16,IF(MAX(0,S27-Premissas!$C$50*MIN(S27,Premissas!$C$49))&lt;=4664.68,MAX(0,S27-Premissas!$C$50*MIN(S27,Premissas!$C$49))*0.225-675.49,MAX(0,S27-Premissas!$C$50*MIN(S27,Premissas!$C$49))*0.275-908.73))))-IF(S27&lt;=5000,312.89,IF(S27&lt;=7350,MAX(0,978.62-0.133145*S27),0)))*Premissas!$C$48</f>
        <v>0</v>
      </c>
      <c r="T29" s="38" t="n">
        <f aca="false">MAX(0,IF(MAX(0,T27-Premissas!$C$50*MIN(T27,Premissas!$C$49))&lt;=2428.8,0,IF(MAX(0,T27-Premissas!$C$50*MIN(T27,Premissas!$C$49))&lt;=2826.65,MAX(0,T27-Premissas!$C$50*MIN(T27,Premissas!$C$49))*0.075-182.16,IF(MAX(0,T27-Premissas!$C$50*MIN(T27,Premissas!$C$49))&lt;=3751.05,MAX(0,T27-Premissas!$C$50*MIN(T27,Premissas!$C$49))*0.15-394.16,IF(MAX(0,T27-Premissas!$C$50*MIN(T27,Premissas!$C$49))&lt;=4664.68,MAX(0,T27-Premissas!$C$50*MIN(T27,Premissas!$C$49))*0.225-675.49,MAX(0,T27-Premissas!$C$50*MIN(T27,Premissas!$C$49))*0.275-908.73))))-IF(T27&lt;=5000,312.89,IF(T27&lt;=7350,MAX(0,978.62-0.133145*T27),0)))*Premissas!$C$48</f>
        <v>528.105625000002</v>
      </c>
      <c r="U29" s="38" t="n">
        <f aca="false">MAX(0,IF(MAX(0,U27-Premissas!$C$50*MIN(U27,Premissas!$C$49))&lt;=2428.8,0,IF(MAX(0,U27-Premissas!$C$50*MIN(U27,Premissas!$C$49))&lt;=2826.65,MAX(0,U27-Premissas!$C$50*MIN(U27,Premissas!$C$49))*0.075-182.16,IF(MAX(0,U27-Premissas!$C$50*MIN(U27,Premissas!$C$49))&lt;=3751.05,MAX(0,U27-Premissas!$C$50*MIN(U27,Premissas!$C$49))*0.15-394.16,IF(MAX(0,U27-Premissas!$C$50*MIN(U27,Premissas!$C$49))&lt;=4664.68,MAX(0,U27-Premissas!$C$50*MIN(U27,Premissas!$C$49))*0.225-675.49,MAX(0,U27-Premissas!$C$50*MIN(U27,Premissas!$C$49))*0.275-908.73))))-IF(U27&lt;=5000,312.89,IF(U27&lt;=7350,MAX(0,978.62-0.133145*U27),0)))*Premissas!$C$48</f>
        <v>1916.86975</v>
      </c>
      <c r="V29" s="38" t="n">
        <f aca="false">MAX(0,IF(MAX(0,V27-Premissas!$C$50*MIN(V27,Premissas!$C$49))&lt;=2428.8,0,IF(MAX(0,V27-Premissas!$C$50*MIN(V27,Premissas!$C$49))&lt;=2826.65,MAX(0,V27-Premissas!$C$50*MIN(V27,Premissas!$C$49))*0.075-182.16,IF(MAX(0,V27-Premissas!$C$50*MIN(V27,Premissas!$C$49))&lt;=3751.05,MAX(0,V27-Premissas!$C$50*MIN(V27,Premissas!$C$49))*0.15-394.16,IF(MAX(0,V27-Premissas!$C$50*MIN(V27,Premissas!$C$49))&lt;=4664.68,MAX(0,V27-Premissas!$C$50*MIN(V27,Premissas!$C$49))*0.225-675.49,MAX(0,V27-Premissas!$C$50*MIN(V27,Premissas!$C$49))*0.275-908.73))))-IF(V27&lt;=5000,312.89,IF(V27&lt;=7350,MAX(0,978.62-0.133145*V27),0)))*Premissas!$C$48</f>
        <v>2389.2385</v>
      </c>
      <c r="W29" s="38" t="n">
        <f aca="false">MAX(0,IF(MAX(0,W27-Premissas!$C$50*MIN(W27,Premissas!$C$49))&lt;=2428.8,0,IF(MAX(0,W27-Premissas!$C$50*MIN(W27,Premissas!$C$49))&lt;=2826.65,MAX(0,W27-Premissas!$C$50*MIN(W27,Premissas!$C$49))*0.075-182.16,IF(MAX(0,W27-Premissas!$C$50*MIN(W27,Premissas!$C$49))&lt;=3751.05,MAX(0,W27-Premissas!$C$50*MIN(W27,Premissas!$C$49))*0.15-394.16,IF(MAX(0,W27-Premissas!$C$50*MIN(W27,Premissas!$C$49))&lt;=4664.68,MAX(0,W27-Premissas!$C$50*MIN(W27,Premissas!$C$49))*0.225-675.49,MAX(0,W27-Premissas!$C$50*MIN(W27,Premissas!$C$49))*0.275-908.73))))-IF(W27&lt;=5000,312.89,IF(W27&lt;=7350,MAX(0,978.62-0.133145*W27),0)))*Premissas!$C$48</f>
        <v>3787.12375</v>
      </c>
      <c r="X29" s="38" t="n">
        <f aca="false">MAX(0,IF(MAX(0,X27-Premissas!$C$50*MIN(X27,Premissas!$C$49))&lt;=2428.8,0,IF(MAX(0,X27-Premissas!$C$50*MIN(X27,Premissas!$C$49))&lt;=2826.65,MAX(0,X27-Premissas!$C$50*MIN(X27,Premissas!$C$49))*0.075-182.16,IF(MAX(0,X27-Premissas!$C$50*MIN(X27,Premissas!$C$49))&lt;=3751.05,MAX(0,X27-Premissas!$C$50*MIN(X27,Premissas!$C$49))*0.15-394.16,IF(MAX(0,X27-Premissas!$C$50*MIN(X27,Premissas!$C$49))&lt;=4664.68,MAX(0,X27-Premissas!$C$50*MIN(X27,Premissas!$C$49))*0.225-675.49,MAX(0,X27-Premissas!$C$50*MIN(X27,Premissas!$C$49))*0.275-908.73))))-IF(X27&lt;=5000,312.89,IF(X27&lt;=7350,MAX(0,978.62-0.133145*X27),0)))*Premissas!$C$48</f>
        <v>4785.78845</v>
      </c>
      <c r="Y29" s="38" t="n">
        <f aca="false">MAX(0,IF(MAX(0,Y27-Premissas!$C$50*MIN(Y27,Premissas!$C$49))&lt;=2428.8,0,IF(MAX(0,Y27-Premissas!$C$50*MIN(Y27,Premissas!$C$49))&lt;=2826.65,MAX(0,Y27-Premissas!$C$50*MIN(Y27,Premissas!$C$49))*0.075-182.16,IF(MAX(0,Y27-Premissas!$C$50*MIN(Y27,Premissas!$C$49))&lt;=3751.05,MAX(0,Y27-Premissas!$C$50*MIN(Y27,Premissas!$C$49))*0.15-394.16,IF(MAX(0,Y27-Premissas!$C$50*MIN(Y27,Premissas!$C$49))&lt;=4664.68,MAX(0,Y27-Premissas!$C$50*MIN(Y27,Premissas!$C$49))*0.225-675.49,MAX(0,Y27-Premissas!$C$50*MIN(Y27,Premissas!$C$49))*0.275-908.73))))-IF(Y27&lt;=5000,312.89,IF(Y27&lt;=7350,MAX(0,978.62-0.133145*Y27),0)))*Premissas!$C$48</f>
        <v>5940.78845</v>
      </c>
      <c r="Z29" s="38" t="n">
        <f aca="false">MAX(0,IF(MAX(0,Z27-Premissas!$C$50*MIN(Z27,Premissas!$C$49))&lt;=2428.8,0,IF(MAX(0,Z27-Premissas!$C$50*MIN(Z27,Premissas!$C$49))&lt;=2826.65,MAX(0,Z27-Premissas!$C$50*MIN(Z27,Premissas!$C$49))*0.075-182.16,IF(MAX(0,Z27-Premissas!$C$50*MIN(Z27,Premissas!$C$49))&lt;=3751.05,MAX(0,Z27-Premissas!$C$50*MIN(Z27,Premissas!$C$49))*0.15-394.16,IF(MAX(0,Z27-Premissas!$C$50*MIN(Z27,Premissas!$C$49))&lt;=4664.68,MAX(0,Z27-Premissas!$C$50*MIN(Z27,Premissas!$C$49))*0.225-675.49,MAX(0,Z27-Premissas!$C$50*MIN(Z27,Premissas!$C$49))*0.275-908.73))))-IF(Z27&lt;=5000,312.89,IF(Z27&lt;=7350,MAX(0,978.62-0.133145*Z27),0)))*Premissas!$C$48</f>
        <v>7095.78845</v>
      </c>
      <c r="AA29" s="38" t="n">
        <f aca="false">MAX(0,IF(MAX(0,AA27-Premissas!$C$50*MIN(AA27,Premissas!$C$49))&lt;=2428.8,0,IF(MAX(0,AA27-Premissas!$C$50*MIN(AA27,Premissas!$C$49))&lt;=2826.65,MAX(0,AA27-Premissas!$C$50*MIN(AA27,Premissas!$C$49))*0.075-182.16,IF(MAX(0,AA27-Premissas!$C$50*MIN(AA27,Premissas!$C$49))&lt;=3751.05,MAX(0,AA27-Premissas!$C$50*MIN(AA27,Premissas!$C$49))*0.15-394.16,IF(MAX(0,AA27-Premissas!$C$50*MIN(AA27,Premissas!$C$49))&lt;=4664.68,MAX(0,AA27-Premissas!$C$50*MIN(AA27,Premissas!$C$49))*0.225-675.49,MAX(0,AA27-Premissas!$C$50*MIN(AA27,Premissas!$C$49))*0.275-908.73))))-IF(AA27&lt;=5000,312.89,IF(AA27&lt;=7350,MAX(0,978.62-0.133145*AA27),0)))*Premissas!$C$48</f>
        <v>8250.78845</v>
      </c>
      <c r="AB29" s="46" t="n">
        <f aca="false">SUM(D29:O29)</f>
        <v>0</v>
      </c>
      <c r="AC29" s="46" t="n">
        <f aca="false">SUM(P29:AA29)</f>
        <v>34694.491425</v>
      </c>
      <c r="AD29" s="46" t="n">
        <f aca="false">SUM(D29:AA29)</f>
        <v>34694.491425</v>
      </c>
    </row>
    <row r="30" customFormat="false" ht="15" hidden="false" customHeight="false" outlineLevel="0" collapsed="false">
      <c r="B30" s="56" t="s">
        <v>472</v>
      </c>
      <c r="C30" s="57"/>
      <c r="D30" s="65" t="n">
        <f aca="false">D24+D28+D29</f>
        <v>0</v>
      </c>
      <c r="E30" s="65" t="n">
        <f aca="false">E24+E28+E29</f>
        <v>0</v>
      </c>
      <c r="F30" s="65" t="n">
        <f aca="false">F24+F28+F29</f>
        <v>0</v>
      </c>
      <c r="G30" s="65" t="n">
        <f aca="false">G24+G28+G29</f>
        <v>1350</v>
      </c>
      <c r="H30" s="65" t="n">
        <f aca="false">H24+H28+H29</f>
        <v>2250</v>
      </c>
      <c r="I30" s="65" t="n">
        <f aca="false">I24+I28+I29</f>
        <v>2783.6</v>
      </c>
      <c r="J30" s="65" t="n">
        <f aca="false">J24+J28+J29</f>
        <v>3793</v>
      </c>
      <c r="K30" s="65" t="n">
        <f aca="false">K24+K28+K29</f>
        <v>5627</v>
      </c>
      <c r="L30" s="65" t="n">
        <f aca="false">L24+L28+L29</f>
        <v>6900.25</v>
      </c>
      <c r="M30" s="65" t="n">
        <f aca="false">M24+M28+M29</f>
        <v>8421.16666666667</v>
      </c>
      <c r="N30" s="65" t="n">
        <f aca="false">N24+N28+N29</f>
        <v>10632.0076923077</v>
      </c>
      <c r="O30" s="65" t="n">
        <f aca="false">O24+O28+O29</f>
        <v>12879.5</v>
      </c>
      <c r="P30" s="65" t="n">
        <f aca="false">P24+P28+P29</f>
        <v>15144.8048780488</v>
      </c>
      <c r="Q30" s="65" t="n">
        <f aca="false">Q24+Q28+Q29</f>
        <v>18010.5</v>
      </c>
      <c r="R30" s="65" t="n">
        <f aca="false">R24+R28+R29</f>
        <v>21389.5</v>
      </c>
      <c r="S30" s="65" t="n">
        <f aca="false">S24+S28+S29</f>
        <v>24723.338028169</v>
      </c>
      <c r="T30" s="65" t="n">
        <f aca="false">T24+T28+T29</f>
        <v>28394.4476495399</v>
      </c>
      <c r="U30" s="65" t="n">
        <f aca="false">U24+U28+U29</f>
        <v>32848.8914891304</v>
      </c>
      <c r="V30" s="65" t="n">
        <f aca="false">V24+V28+V29</f>
        <v>36091.9472378641</v>
      </c>
      <c r="W30" s="65" t="n">
        <f aca="false">W24+W28+W29</f>
        <v>40542.6117412664</v>
      </c>
      <c r="X30" s="65" t="n">
        <f aca="false">X24+X28+X29</f>
        <v>45113.6018785714</v>
      </c>
      <c r="Y30" s="65" t="n">
        <f aca="false">Y24+Y28+Y29</f>
        <v>49982.2043630435</v>
      </c>
      <c r="Z30" s="65" t="n">
        <f aca="false">Z24+Z28+Z29</f>
        <v>54760.63045</v>
      </c>
      <c r="AA30" s="65" t="n">
        <f aca="false">AA24+AA28+AA29</f>
        <v>59468.9193388889</v>
      </c>
      <c r="AB30" s="65" t="n">
        <f aca="false">SUM(D30:O30)</f>
        <v>54636.5243589744</v>
      </c>
      <c r="AC30" s="65" t="n">
        <f aca="false">SUM(P30:AA30)</f>
        <v>426471.397054522</v>
      </c>
      <c r="AD30" s="65" t="n">
        <f aca="false">SUM(D30:AA30)</f>
        <v>481107.921413497</v>
      </c>
    </row>
    <row r="31" customFormat="false" ht="15" hidden="false" customHeight="false" outlineLevel="0" collapsed="false">
      <c r="B31" s="79" t="s">
        <v>473</v>
      </c>
      <c r="C31" s="80"/>
      <c r="D31" s="81" t="n">
        <f aca="false">D20-D30</f>
        <v>0</v>
      </c>
      <c r="E31" s="81" t="n">
        <f aca="false">E20-E30</f>
        <v>0</v>
      </c>
      <c r="F31" s="81" t="n">
        <f aca="false">F20-F30</f>
        <v>0</v>
      </c>
      <c r="G31" s="81" t="n">
        <f aca="false">G20-G30</f>
        <v>2137.5</v>
      </c>
      <c r="H31" s="81" t="n">
        <f aca="false">H20-H30</f>
        <v>3562.5</v>
      </c>
      <c r="I31" s="81" t="n">
        <f aca="false">I20-I30</f>
        <v>4191.4</v>
      </c>
      <c r="J31" s="81" t="n">
        <f aca="false">J20-J30</f>
        <v>4532</v>
      </c>
      <c r="K31" s="81" t="n">
        <f aca="false">K20-K30</f>
        <v>5398</v>
      </c>
      <c r="L31" s="81" t="n">
        <f aca="false">L20-L30</f>
        <v>5599.75</v>
      </c>
      <c r="M31" s="81" t="n">
        <f aca="false">M20-M30</f>
        <v>6901.33333333334</v>
      </c>
      <c r="N31" s="81" t="n">
        <f aca="false">N20-N30</f>
        <v>7621.83846153846</v>
      </c>
      <c r="O31" s="81" t="n">
        <f aca="false">O20-O30</f>
        <v>8320.5</v>
      </c>
      <c r="P31" s="81" t="n">
        <f aca="false">P20-P30</f>
        <v>9007.0243902439</v>
      </c>
      <c r="Q31" s="81" t="n">
        <f aca="false">Q20-Q30</f>
        <v>9319.5</v>
      </c>
      <c r="R31" s="81" t="n">
        <f aca="false">R20-R30</f>
        <v>9300.5</v>
      </c>
      <c r="S31" s="81" t="n">
        <f aca="false">S20-S30</f>
        <v>9286.52112676057</v>
      </c>
      <c r="T31" s="81" t="n">
        <f aca="false">T20-T30</f>
        <v>8852.94498849693</v>
      </c>
      <c r="U31" s="81" t="n">
        <f aca="false">U20-U30</f>
        <v>7598.93459782609</v>
      </c>
      <c r="V31" s="81" t="n">
        <f aca="false">V20-V30</f>
        <v>7542.76149999999</v>
      </c>
      <c r="W31" s="81" t="n">
        <f aca="false">W20-W30</f>
        <v>6267.86860807861</v>
      </c>
      <c r="X31" s="81" t="n">
        <f aca="false">X20-X30</f>
        <v>5157.82669285715</v>
      </c>
      <c r="Y31" s="81" t="n">
        <f aca="false">Y20-Y30</f>
        <v>4017.79563695652</v>
      </c>
      <c r="Z31" s="81" t="n">
        <f aca="false">Z20-Z30</f>
        <v>2923.36955</v>
      </c>
      <c r="AA31" s="81" t="n">
        <f aca="false">AA20-AA30</f>
        <v>1864.41399444444</v>
      </c>
      <c r="AB31" s="65" t="n">
        <f aca="false">SUM(D31:O31)</f>
        <v>48264.8217948718</v>
      </c>
      <c r="AC31" s="65" t="n">
        <f aca="false">SUM(P31:AA31)</f>
        <v>81139.4610856642</v>
      </c>
      <c r="AD31" s="65" t="n">
        <f aca="false">SUM(D31:AA31)</f>
        <v>129404.282880536</v>
      </c>
    </row>
    <row r="33" customFormat="false" ht="15" hidden="false" customHeight="false" outlineLevel="0" collapsed="false">
      <c r="B33" s="5" t="s">
        <v>474</v>
      </c>
      <c r="C33" s="5" t="str">
        <f aca="false">"Ano 1: "&amp;IF(AB31&gt;0,"pró-labore compensa (economia de R$ "&amp;TEXT(AB31,"#,##0")&amp;")","não compensa")&amp;" · Ano 2: "&amp;IF(AC31&gt;0,"pró-labore compensa (economia de R$ "&amp;TEXT(AC31,"#,##0")&amp;")","não compensa (custaria R$ "&amp;TEXT(-AC31,"#,##0")&amp;" a mais)")</f>
        <v>Ano 1: pró-labore compensa (economia de R$ 48,265) · Ano 2: pró-labore compensa (economia de R$ 81,139)</v>
      </c>
    </row>
    <row r="34" customFormat="false" ht="15" hidden="false" customHeight="false" outlineLevel="0" collapsed="false">
      <c r="B34" s="25" t="s">
        <v>475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B4FD8"/>
    <pageSetUpPr fitToPage="true"/>
  </sheetPr>
  <dimension ref="B2:AD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2"/>
    <col collapsed="false" customWidth="true" hidden="false" outlineLevel="0" max="27" min="3" style="0" width="11.5"/>
    <col collapsed="false" customWidth="true" hidden="false" outlineLevel="0" max="30" min="28" style="0" width="13.5"/>
  </cols>
  <sheetData>
    <row r="2" customFormat="false" ht="21.75" hidden="false" customHeight="true" outlineLevel="0" collapsed="false">
      <c r="B2" s="1" t="s">
        <v>476</v>
      </c>
    </row>
    <row r="3" customFormat="false" ht="15" hidden="false" customHeight="false" outlineLevel="0" collapsed="false">
      <c r="B3" s="2" t="s">
        <v>477</v>
      </c>
    </row>
    <row r="5" customFormat="false" ht="18" hidden="false" customHeight="true" outlineLevel="0" collapsed="false">
      <c r="B5" s="4" t="s">
        <v>478</v>
      </c>
      <c r="D5" s="30" t="s">
        <v>273</v>
      </c>
      <c r="E5" s="30" t="s">
        <v>274</v>
      </c>
      <c r="F5" s="30" t="s">
        <v>275</v>
      </c>
      <c r="G5" s="30" t="s">
        <v>276</v>
      </c>
      <c r="H5" s="30" t="s">
        <v>277</v>
      </c>
      <c r="I5" s="30" t="s">
        <v>278</v>
      </c>
      <c r="J5" s="30" t="s">
        <v>279</v>
      </c>
      <c r="K5" s="30" t="s">
        <v>280</v>
      </c>
      <c r="L5" s="30" t="s">
        <v>281</v>
      </c>
      <c r="M5" s="30" t="s">
        <v>282</v>
      </c>
      <c r="N5" s="30" t="s">
        <v>283</v>
      </c>
      <c r="O5" s="30" t="s">
        <v>284</v>
      </c>
      <c r="P5" s="30" t="s">
        <v>285</v>
      </c>
      <c r="Q5" s="30" t="s">
        <v>286</v>
      </c>
      <c r="R5" s="30" t="s">
        <v>287</v>
      </c>
      <c r="S5" s="30" t="s">
        <v>288</v>
      </c>
      <c r="T5" s="30" t="s">
        <v>289</v>
      </c>
      <c r="U5" s="30" t="s">
        <v>290</v>
      </c>
      <c r="V5" s="30" t="s">
        <v>291</v>
      </c>
      <c r="W5" s="30" t="s">
        <v>292</v>
      </c>
      <c r="X5" s="30" t="s">
        <v>293</v>
      </c>
      <c r="Y5" s="30" t="s">
        <v>294</v>
      </c>
      <c r="Z5" s="30" t="s">
        <v>295</v>
      </c>
      <c r="AA5" s="30" t="s">
        <v>296</v>
      </c>
      <c r="AB5" s="51" t="s">
        <v>297</v>
      </c>
      <c r="AC5" s="51" t="s">
        <v>298</v>
      </c>
      <c r="AD5" s="51" t="s">
        <v>299</v>
      </c>
    </row>
    <row r="6" customFormat="false" ht="15" hidden="false" customHeight="false" outlineLevel="0" collapsed="false">
      <c r="B6" s="25" t="s">
        <v>300</v>
      </c>
      <c r="C6" s="52" t="n">
        <v>0</v>
      </c>
      <c r="D6" s="52" t="n">
        <v>1</v>
      </c>
      <c r="E6" s="52" t="n">
        <v>2</v>
      </c>
      <c r="F6" s="52" t="n">
        <v>3</v>
      </c>
      <c r="G6" s="52" t="n">
        <v>4</v>
      </c>
      <c r="H6" s="52" t="n">
        <v>5</v>
      </c>
      <c r="I6" s="52" t="n">
        <v>6</v>
      </c>
      <c r="J6" s="52" t="n">
        <v>7</v>
      </c>
      <c r="K6" s="52" t="n">
        <v>8</v>
      </c>
      <c r="L6" s="52" t="n">
        <v>9</v>
      </c>
      <c r="M6" s="52" t="n">
        <v>10</v>
      </c>
      <c r="N6" s="52" t="n">
        <v>11</v>
      </c>
      <c r="O6" s="52" t="n">
        <v>12</v>
      </c>
      <c r="P6" s="52" t="n">
        <v>13</v>
      </c>
      <c r="Q6" s="52" t="n">
        <v>14</v>
      </c>
      <c r="R6" s="52" t="n">
        <v>15</v>
      </c>
      <c r="S6" s="52" t="n">
        <v>16</v>
      </c>
      <c r="T6" s="52" t="n">
        <v>17</v>
      </c>
      <c r="U6" s="52" t="n">
        <v>18</v>
      </c>
      <c r="V6" s="52" t="n">
        <v>19</v>
      </c>
      <c r="W6" s="52" t="n">
        <v>20</v>
      </c>
      <c r="X6" s="52" t="n">
        <v>21</v>
      </c>
      <c r="Y6" s="52" t="n">
        <v>22</v>
      </c>
      <c r="Z6" s="52" t="n">
        <v>23</v>
      </c>
      <c r="AA6" s="52" t="n">
        <v>24</v>
      </c>
    </row>
    <row r="7" customFormat="false" ht="15" hidden="false" customHeight="false" outlineLevel="0" collapsed="false">
      <c r="B7" s="62" t="s">
        <v>479</v>
      </c>
      <c r="C7" s="63"/>
      <c r="D7" s="64" t="n">
        <f aca="false">'Receita e Clientes'!D15</f>
        <v>0</v>
      </c>
      <c r="E7" s="64" t="n">
        <f aca="false">'Receita e Clientes'!E15</f>
        <v>0</v>
      </c>
      <c r="F7" s="64" t="n">
        <f aca="false">'Receita e Clientes'!F15</f>
        <v>0</v>
      </c>
      <c r="G7" s="64" t="n">
        <f aca="false">'Receita e Clientes'!G15</f>
        <v>22500</v>
      </c>
      <c r="H7" s="64" t="n">
        <f aca="false">'Receita e Clientes'!H15</f>
        <v>37500</v>
      </c>
      <c r="I7" s="64" t="n">
        <f aca="false">'Receita e Clientes'!I15</f>
        <v>45000</v>
      </c>
      <c r="J7" s="64" t="n">
        <f aca="false">'Receita e Clientes'!J15</f>
        <v>52500</v>
      </c>
      <c r="K7" s="64" t="n">
        <f aca="false">'Receita e Clientes'!K15</f>
        <v>67500</v>
      </c>
      <c r="L7" s="64" t="n">
        <f aca="false">'Receita e Clientes'!L15</f>
        <v>75000</v>
      </c>
      <c r="M7" s="64" t="n">
        <f aca="false">'Receita e Clientes'!M15</f>
        <v>90000</v>
      </c>
      <c r="N7" s="64" t="n">
        <f aca="false">'Receita e Clientes'!N15</f>
        <v>105000</v>
      </c>
      <c r="O7" s="64" t="n">
        <f aca="false">'Receita e Clientes'!O15</f>
        <v>120000</v>
      </c>
      <c r="P7" s="64" t="n">
        <f aca="false">'Receita e Clientes'!P15</f>
        <v>135000</v>
      </c>
      <c r="Q7" s="64" t="n">
        <f aca="false">'Receita e Clientes'!Q15</f>
        <v>150000</v>
      </c>
      <c r="R7" s="64" t="n">
        <f aca="false">'Receita e Clientes'!R15</f>
        <v>165000</v>
      </c>
      <c r="S7" s="64" t="n">
        <f aca="false">'Receita e Clientes'!S15</f>
        <v>180000</v>
      </c>
      <c r="T7" s="64" t="n">
        <f aca="false">'Receita e Clientes'!T15</f>
        <v>195000</v>
      </c>
      <c r="U7" s="64" t="n">
        <f aca="false">'Receita e Clientes'!U15</f>
        <v>210000</v>
      </c>
      <c r="V7" s="64" t="n">
        <f aca="false">'Receita e Clientes'!V15</f>
        <v>225000</v>
      </c>
      <c r="W7" s="64" t="n">
        <f aca="false">'Receita e Clientes'!W15</f>
        <v>240000</v>
      </c>
      <c r="X7" s="64" t="n">
        <f aca="false">'Receita e Clientes'!X15</f>
        <v>255000</v>
      </c>
      <c r="Y7" s="64" t="n">
        <f aca="false">'Receita e Clientes'!Y15</f>
        <v>270000</v>
      </c>
      <c r="Z7" s="64" t="n">
        <f aca="false">'Receita e Clientes'!Z15</f>
        <v>285000</v>
      </c>
      <c r="AA7" s="64" t="n">
        <f aca="false">'Receita e Clientes'!AA15</f>
        <v>300000</v>
      </c>
      <c r="AB7" s="65" t="n">
        <f aca="false">SUM(D7:O7)</f>
        <v>615000</v>
      </c>
      <c r="AC7" s="65" t="n">
        <f aca="false">SUM(P7:AA7)</f>
        <v>2610000</v>
      </c>
      <c r="AD7" s="65" t="n">
        <f aca="false">SUM(D7:AA7)</f>
        <v>3225000</v>
      </c>
    </row>
    <row r="8" customFormat="false" ht="15" hidden="false" customHeight="false" outlineLevel="0" collapsed="false">
      <c r="B8" s="56" t="s">
        <v>480</v>
      </c>
      <c r="C8" s="57"/>
      <c r="D8" s="65" t="n">
        <f aca="false">D9+D10+D11+D12</f>
        <v>450</v>
      </c>
      <c r="E8" s="65" t="n">
        <f aca="false">E9+E10+E11+E12</f>
        <v>450</v>
      </c>
      <c r="F8" s="65" t="n">
        <f aca="false">F9+F10+F11+F12</f>
        <v>450</v>
      </c>
      <c r="G8" s="65" t="n">
        <f aca="false">G9+G10+G11+G12</f>
        <v>5296.5</v>
      </c>
      <c r="H8" s="65" t="n">
        <f aca="false">H9+H10+H11+H12</f>
        <v>8827.5</v>
      </c>
      <c r="I8" s="65" t="n">
        <f aca="false">I9+I10+I11+I12</f>
        <v>10593</v>
      </c>
      <c r="J8" s="65" t="n">
        <f aca="false">J9+J10+J11+J12</f>
        <v>12546</v>
      </c>
      <c r="K8" s="65" t="n">
        <f aca="false">K9+K10+K11+K12</f>
        <v>16452</v>
      </c>
      <c r="L8" s="65" t="n">
        <f aca="false">L9+L10+L11+L12</f>
        <v>18530</v>
      </c>
      <c r="M8" s="65" t="n">
        <f aca="false">M9+M10+M11+M12</f>
        <v>22558.5</v>
      </c>
      <c r="N8" s="65" t="n">
        <f aca="false">N9+N10+N11+N12</f>
        <v>26695.8461538462</v>
      </c>
      <c r="O8" s="65" t="n">
        <f aca="false">O9+O10+O11+O12</f>
        <v>30848</v>
      </c>
      <c r="P8" s="65" t="n">
        <f aca="false">P9+P10+P11+P12</f>
        <v>35005.8292682927</v>
      </c>
      <c r="Q8" s="65" t="n">
        <f aca="false">Q9+Q10+Q11+Q12</f>
        <v>39390</v>
      </c>
      <c r="R8" s="65" t="n">
        <f aca="false">R9+R10+R11+R12</f>
        <v>43956</v>
      </c>
      <c r="S8" s="65" t="n">
        <f aca="false">S9+S10+S11+S12</f>
        <v>48481.8591549296</v>
      </c>
      <c r="T8" s="65" t="n">
        <f aca="false">T9+T10+T11+T12</f>
        <v>52925.3926380368</v>
      </c>
      <c r="U8" s="65" t="n">
        <f aca="false">U9+U10+U11+U12</f>
        <v>57331.8260869565</v>
      </c>
      <c r="V8" s="65" t="n">
        <f aca="false">V9+V10+V11+V12</f>
        <v>61724.7087378641</v>
      </c>
      <c r="W8" s="65" t="n">
        <f aca="false">W9+W10+W11+W12</f>
        <v>66106.480349345</v>
      </c>
      <c r="X8" s="65" t="n">
        <f aca="false">X9+X10+X11+X12</f>
        <v>70773.4285714286</v>
      </c>
      <c r="Y8" s="65" t="n">
        <f aca="false">Y9+Y10+Y11+Y12</f>
        <v>75708</v>
      </c>
      <c r="Z8" s="65" t="n">
        <f aca="false">Z9+Z10+Z11+Z12</f>
        <v>80598</v>
      </c>
      <c r="AA8" s="65" t="n">
        <f aca="false">AA9+AA10+AA11+AA12</f>
        <v>85453.3333333333</v>
      </c>
      <c r="AB8" s="65" t="n">
        <f aca="false">SUM(D8:O8)</f>
        <v>153697.346153846</v>
      </c>
      <c r="AC8" s="65" t="n">
        <f aca="false">SUM(P8:AA8)</f>
        <v>717454.858140187</v>
      </c>
      <c r="AD8" s="65" t="n">
        <f aca="false">SUM(D8:AA8)</f>
        <v>871152.204294033</v>
      </c>
    </row>
    <row r="9" customFormat="false" ht="15" hidden="false" customHeight="false" outlineLevel="0" collapsed="false">
      <c r="B9" s="6" t="s">
        <v>481</v>
      </c>
      <c r="D9" s="13" t="n">
        <f aca="false">'Custos Variáveis'!D18</f>
        <v>450</v>
      </c>
      <c r="E9" s="13" t="n">
        <f aca="false">'Custos Variáveis'!E18</f>
        <v>450</v>
      </c>
      <c r="F9" s="13" t="n">
        <f aca="false">'Custos Variáveis'!F18</f>
        <v>450</v>
      </c>
      <c r="G9" s="13" t="n">
        <f aca="false">'Custos Variáveis'!G18</f>
        <v>450</v>
      </c>
      <c r="H9" s="13" t="n">
        <f aca="false">'Custos Variáveis'!H18</f>
        <v>750</v>
      </c>
      <c r="I9" s="13" t="n">
        <f aca="false">'Custos Variáveis'!I18</f>
        <v>900</v>
      </c>
      <c r="J9" s="13" t="n">
        <f aca="false">'Custos Variáveis'!J18</f>
        <v>1050</v>
      </c>
      <c r="K9" s="13" t="n">
        <f aca="false">'Custos Variáveis'!K18</f>
        <v>1350</v>
      </c>
      <c r="L9" s="13" t="n">
        <f aca="false">'Custos Variáveis'!L18</f>
        <v>1500</v>
      </c>
      <c r="M9" s="13" t="n">
        <f aca="false">'Custos Variáveis'!M18</f>
        <v>1800</v>
      </c>
      <c r="N9" s="13" t="n">
        <f aca="false">'Custos Variáveis'!N18</f>
        <v>2100</v>
      </c>
      <c r="O9" s="13" t="n">
        <f aca="false">'Custos Variáveis'!O18</f>
        <v>2400</v>
      </c>
      <c r="P9" s="13" t="n">
        <f aca="false">'Custos Variáveis'!P18</f>
        <v>2700</v>
      </c>
      <c r="Q9" s="13" t="n">
        <f aca="false">'Custos Variáveis'!Q18</f>
        <v>3000</v>
      </c>
      <c r="R9" s="13" t="n">
        <f aca="false">'Custos Variáveis'!R18</f>
        <v>3300</v>
      </c>
      <c r="S9" s="13" t="n">
        <f aca="false">'Custos Variáveis'!S18</f>
        <v>3600</v>
      </c>
      <c r="T9" s="13" t="n">
        <f aca="false">'Custos Variáveis'!T18</f>
        <v>3900</v>
      </c>
      <c r="U9" s="13" t="n">
        <f aca="false">'Custos Variáveis'!U18</f>
        <v>4200</v>
      </c>
      <c r="V9" s="13" t="n">
        <f aca="false">'Custos Variáveis'!V18</f>
        <v>4500</v>
      </c>
      <c r="W9" s="13" t="n">
        <f aca="false">'Custos Variáveis'!W18</f>
        <v>4800</v>
      </c>
      <c r="X9" s="13" t="n">
        <f aca="false">'Custos Variáveis'!X18</f>
        <v>5100</v>
      </c>
      <c r="Y9" s="13" t="n">
        <f aca="false">'Custos Variáveis'!Y18</f>
        <v>5400</v>
      </c>
      <c r="Z9" s="13" t="n">
        <f aca="false">'Custos Variáveis'!Z18</f>
        <v>5700</v>
      </c>
      <c r="AA9" s="13" t="n">
        <f aca="false">'Custos Variáveis'!AA18</f>
        <v>6000</v>
      </c>
      <c r="AB9" s="46" t="n">
        <f aca="false">SUM(D9:O9)</f>
        <v>13650</v>
      </c>
      <c r="AC9" s="46" t="n">
        <f aca="false">SUM(P9:AA9)</f>
        <v>52200</v>
      </c>
      <c r="AD9" s="46" t="n">
        <f aca="false">SUM(D9:AA9)</f>
        <v>65850</v>
      </c>
    </row>
    <row r="10" customFormat="false" ht="15" hidden="false" customHeight="false" outlineLevel="0" collapsed="false">
      <c r="B10" s="6" t="s">
        <v>482</v>
      </c>
      <c r="D10" s="13" t="n">
        <f aca="false">'Custos Variáveis'!D19</f>
        <v>0</v>
      </c>
      <c r="E10" s="13" t="n">
        <f aca="false">'Custos Variáveis'!E19</f>
        <v>0</v>
      </c>
      <c r="F10" s="13" t="n">
        <f aca="false">'Custos Variáveis'!F19</f>
        <v>0</v>
      </c>
      <c r="G10" s="13" t="n">
        <f aca="false">'Custos Variáveis'!G19</f>
        <v>3487.5</v>
      </c>
      <c r="H10" s="13" t="n">
        <f aca="false">'Custos Variáveis'!H19</f>
        <v>5812.5</v>
      </c>
      <c r="I10" s="13" t="n">
        <f aca="false">'Custos Variáveis'!I19</f>
        <v>6975</v>
      </c>
      <c r="J10" s="13" t="n">
        <f aca="false">'Custos Variáveis'!J19</f>
        <v>8325</v>
      </c>
      <c r="K10" s="13" t="n">
        <f aca="false">'Custos Variáveis'!K19</f>
        <v>11025</v>
      </c>
      <c r="L10" s="13" t="n">
        <f aca="false">'Custos Variáveis'!L19</f>
        <v>12500</v>
      </c>
      <c r="M10" s="13" t="n">
        <f aca="false">'Custos Variáveis'!M19</f>
        <v>15322.5</v>
      </c>
      <c r="N10" s="13" t="n">
        <f aca="false">'Custos Variáveis'!N19</f>
        <v>18253.8461538462</v>
      </c>
      <c r="O10" s="13" t="n">
        <f aca="false">'Custos Variáveis'!O19</f>
        <v>21200</v>
      </c>
      <c r="P10" s="13" t="n">
        <f aca="false">'Custos Variáveis'!P19</f>
        <v>24151.8292682927</v>
      </c>
      <c r="Q10" s="13" t="n">
        <f aca="false">'Custos Variáveis'!Q19</f>
        <v>27330</v>
      </c>
      <c r="R10" s="13" t="n">
        <f aca="false">'Custos Variáveis'!R19</f>
        <v>30690</v>
      </c>
      <c r="S10" s="13" t="n">
        <f aca="false">'Custos Variáveis'!S19</f>
        <v>34009.8591549296</v>
      </c>
      <c r="T10" s="13" t="n">
        <f aca="false">'Custos Variáveis'!T19</f>
        <v>37247.3926380368</v>
      </c>
      <c r="U10" s="13" t="n">
        <f aca="false">'Custos Variáveis'!U19</f>
        <v>40447.8260869565</v>
      </c>
      <c r="V10" s="13" t="n">
        <f aca="false">'Custos Variáveis'!V19</f>
        <v>43634.7087378641</v>
      </c>
      <c r="W10" s="13" t="n">
        <f aca="false">'Custos Variáveis'!W19</f>
        <v>46810.480349345</v>
      </c>
      <c r="X10" s="13" t="n">
        <f aca="false">'Custos Variáveis'!X19</f>
        <v>50271.4285714286</v>
      </c>
      <c r="Y10" s="13" t="n">
        <f aca="false">'Custos Variáveis'!Y19</f>
        <v>54000</v>
      </c>
      <c r="Z10" s="13" t="n">
        <f aca="false">'Custos Variáveis'!Z19</f>
        <v>57684</v>
      </c>
      <c r="AA10" s="13" t="n">
        <f aca="false">'Custos Variáveis'!AA19</f>
        <v>61333.3333333333</v>
      </c>
      <c r="AB10" s="46" t="n">
        <f aca="false">SUM(D10:O10)</f>
        <v>102901.346153846</v>
      </c>
      <c r="AC10" s="46" t="n">
        <f aca="false">SUM(P10:AA10)</f>
        <v>507610.858140187</v>
      </c>
      <c r="AD10" s="46" t="n">
        <f aca="false">SUM(D10:AA10)</f>
        <v>610512.204294033</v>
      </c>
    </row>
    <row r="11" customFormat="false" ht="15" hidden="false" customHeight="false" outlineLevel="0" collapsed="false">
      <c r="B11" s="6" t="s">
        <v>483</v>
      </c>
      <c r="D11" s="13" t="n">
        <f aca="false">'Custos Variáveis'!D20+'Custos Variáveis'!D21</f>
        <v>0</v>
      </c>
      <c r="E11" s="13" t="n">
        <f aca="false">'Custos Variáveis'!E20+'Custos Variáveis'!E21</f>
        <v>0</v>
      </c>
      <c r="F11" s="13" t="n">
        <f aca="false">'Custos Variáveis'!F20+'Custos Variáveis'!F21</f>
        <v>0</v>
      </c>
      <c r="G11" s="13" t="n">
        <f aca="false">'Custos Variáveis'!G20+'Custos Variáveis'!G21</f>
        <v>1134</v>
      </c>
      <c r="H11" s="13" t="n">
        <f aca="false">'Custos Variáveis'!H20+'Custos Variáveis'!H21</f>
        <v>1890</v>
      </c>
      <c r="I11" s="13" t="n">
        <f aca="false">'Custos Variáveis'!I20+'Custos Variáveis'!I21</f>
        <v>2268</v>
      </c>
      <c r="J11" s="13" t="n">
        <f aca="false">'Custos Variáveis'!J20+'Custos Variáveis'!J21</f>
        <v>2646</v>
      </c>
      <c r="K11" s="13" t="n">
        <f aca="false">'Custos Variáveis'!K20+'Custos Variáveis'!K21</f>
        <v>3402</v>
      </c>
      <c r="L11" s="13" t="n">
        <f aca="false">'Custos Variáveis'!L20+'Custos Variáveis'!L21</f>
        <v>3780</v>
      </c>
      <c r="M11" s="13" t="n">
        <f aca="false">'Custos Variáveis'!M20+'Custos Variáveis'!M21</f>
        <v>4536</v>
      </c>
      <c r="N11" s="13" t="n">
        <f aca="false">'Custos Variáveis'!N20+'Custos Variáveis'!N21</f>
        <v>5292</v>
      </c>
      <c r="O11" s="13" t="n">
        <f aca="false">'Custos Variáveis'!O20+'Custos Variáveis'!O21</f>
        <v>6048</v>
      </c>
      <c r="P11" s="13" t="n">
        <f aca="false">'Custos Variáveis'!P20+'Custos Variáveis'!P21</f>
        <v>6804</v>
      </c>
      <c r="Q11" s="13" t="n">
        <f aca="false">'Custos Variáveis'!Q20+'Custos Variáveis'!Q21</f>
        <v>7560</v>
      </c>
      <c r="R11" s="13" t="n">
        <f aca="false">'Custos Variáveis'!R20+'Custos Variáveis'!R21</f>
        <v>8316</v>
      </c>
      <c r="S11" s="13" t="n">
        <f aca="false">'Custos Variáveis'!S20+'Custos Variáveis'!S21</f>
        <v>9072</v>
      </c>
      <c r="T11" s="13" t="n">
        <f aca="false">'Custos Variáveis'!T20+'Custos Variáveis'!T21</f>
        <v>9828</v>
      </c>
      <c r="U11" s="13" t="n">
        <f aca="false">'Custos Variáveis'!U20+'Custos Variáveis'!U21</f>
        <v>10584</v>
      </c>
      <c r="V11" s="13" t="n">
        <f aca="false">'Custos Variáveis'!V20+'Custos Variáveis'!V21</f>
        <v>11340</v>
      </c>
      <c r="W11" s="13" t="n">
        <f aca="false">'Custos Variáveis'!W20+'Custos Variáveis'!W21</f>
        <v>12096</v>
      </c>
      <c r="X11" s="13" t="n">
        <f aca="false">'Custos Variáveis'!X20+'Custos Variáveis'!X21</f>
        <v>12852</v>
      </c>
      <c r="Y11" s="13" t="n">
        <f aca="false">'Custos Variáveis'!Y20+'Custos Variáveis'!Y21</f>
        <v>13608</v>
      </c>
      <c r="Z11" s="13" t="n">
        <f aca="false">'Custos Variáveis'!Z20+'Custos Variáveis'!Z21</f>
        <v>14364</v>
      </c>
      <c r="AA11" s="13" t="n">
        <f aca="false">'Custos Variáveis'!AA20+'Custos Variáveis'!AA21</f>
        <v>15120</v>
      </c>
      <c r="AB11" s="46" t="n">
        <f aca="false">SUM(D11:O11)</f>
        <v>30996</v>
      </c>
      <c r="AC11" s="46" t="n">
        <f aca="false">SUM(P11:AA11)</f>
        <v>131544</v>
      </c>
      <c r="AD11" s="46" t="n">
        <f aca="false">SUM(D11:AA11)</f>
        <v>162540</v>
      </c>
    </row>
    <row r="12" customFormat="false" ht="15" hidden="false" customHeight="false" outlineLevel="0" collapsed="false">
      <c r="B12" s="6" t="s">
        <v>484</v>
      </c>
      <c r="D12" s="13" t="n">
        <f aca="false">'Custos Variáveis'!D22</f>
        <v>0</v>
      </c>
      <c r="E12" s="13" t="n">
        <f aca="false">'Custos Variáveis'!E22</f>
        <v>0</v>
      </c>
      <c r="F12" s="13" t="n">
        <f aca="false">'Custos Variáveis'!F22</f>
        <v>0</v>
      </c>
      <c r="G12" s="13" t="n">
        <f aca="false">'Custos Variáveis'!G22</f>
        <v>225</v>
      </c>
      <c r="H12" s="13" t="n">
        <f aca="false">'Custos Variáveis'!H22</f>
        <v>375</v>
      </c>
      <c r="I12" s="13" t="n">
        <f aca="false">'Custos Variáveis'!I22</f>
        <v>450</v>
      </c>
      <c r="J12" s="13" t="n">
        <f aca="false">'Custos Variáveis'!J22</f>
        <v>525</v>
      </c>
      <c r="K12" s="13" t="n">
        <f aca="false">'Custos Variáveis'!K22</f>
        <v>675</v>
      </c>
      <c r="L12" s="13" t="n">
        <f aca="false">'Custos Variáveis'!L22</f>
        <v>750</v>
      </c>
      <c r="M12" s="13" t="n">
        <f aca="false">'Custos Variáveis'!M22</f>
        <v>900</v>
      </c>
      <c r="N12" s="13" t="n">
        <f aca="false">'Custos Variáveis'!N22</f>
        <v>1050</v>
      </c>
      <c r="O12" s="13" t="n">
        <f aca="false">'Custos Variáveis'!O22</f>
        <v>1200</v>
      </c>
      <c r="P12" s="13" t="n">
        <f aca="false">'Custos Variáveis'!P22</f>
        <v>1350</v>
      </c>
      <c r="Q12" s="13" t="n">
        <f aca="false">'Custos Variáveis'!Q22</f>
        <v>1500</v>
      </c>
      <c r="R12" s="13" t="n">
        <f aca="false">'Custos Variáveis'!R22</f>
        <v>1650</v>
      </c>
      <c r="S12" s="13" t="n">
        <f aca="false">'Custos Variáveis'!S22</f>
        <v>1800</v>
      </c>
      <c r="T12" s="13" t="n">
        <f aca="false">'Custos Variáveis'!T22</f>
        <v>1950</v>
      </c>
      <c r="U12" s="13" t="n">
        <f aca="false">'Custos Variáveis'!U22</f>
        <v>2100</v>
      </c>
      <c r="V12" s="13" t="n">
        <f aca="false">'Custos Variáveis'!V22</f>
        <v>2250</v>
      </c>
      <c r="W12" s="13" t="n">
        <f aca="false">'Custos Variáveis'!W22</f>
        <v>2400</v>
      </c>
      <c r="X12" s="13" t="n">
        <f aca="false">'Custos Variáveis'!X22</f>
        <v>2550</v>
      </c>
      <c r="Y12" s="13" t="n">
        <f aca="false">'Custos Variáveis'!Y22</f>
        <v>2700</v>
      </c>
      <c r="Z12" s="13" t="n">
        <f aca="false">'Custos Variáveis'!Z22</f>
        <v>2850</v>
      </c>
      <c r="AA12" s="13" t="n">
        <f aca="false">'Custos Variáveis'!AA22</f>
        <v>3000</v>
      </c>
      <c r="AB12" s="46" t="n">
        <f aca="false">SUM(D12:O12)</f>
        <v>6150</v>
      </c>
      <c r="AC12" s="46" t="n">
        <f aca="false">SUM(P12:AA12)</f>
        <v>26100</v>
      </c>
      <c r="AD12" s="46" t="n">
        <f aca="false">SUM(D12:AA12)</f>
        <v>32250</v>
      </c>
    </row>
    <row r="13" customFormat="false" ht="15" hidden="false" customHeight="false" outlineLevel="0" collapsed="false">
      <c r="B13" s="56" t="s">
        <v>485</v>
      </c>
      <c r="C13" s="57"/>
      <c r="D13" s="65" t="n">
        <f aca="false">D7-D8</f>
        <v>-450</v>
      </c>
      <c r="E13" s="65" t="n">
        <f aca="false">E7-E8</f>
        <v>-450</v>
      </c>
      <c r="F13" s="65" t="n">
        <f aca="false">F7-F8</f>
        <v>-450</v>
      </c>
      <c r="G13" s="65" t="n">
        <f aca="false">G7-G8</f>
        <v>17203.5</v>
      </c>
      <c r="H13" s="65" t="n">
        <f aca="false">H7-H8</f>
        <v>28672.5</v>
      </c>
      <c r="I13" s="65" t="n">
        <f aca="false">I7-I8</f>
        <v>34407</v>
      </c>
      <c r="J13" s="65" t="n">
        <f aca="false">J7-J8</f>
        <v>39954</v>
      </c>
      <c r="K13" s="65" t="n">
        <f aca="false">K7-K8</f>
        <v>51048</v>
      </c>
      <c r="L13" s="65" t="n">
        <f aca="false">L7-L8</f>
        <v>56470</v>
      </c>
      <c r="M13" s="65" t="n">
        <f aca="false">M7-M8</f>
        <v>67441.5</v>
      </c>
      <c r="N13" s="65" t="n">
        <f aca="false">N7-N8</f>
        <v>78304.1538461538</v>
      </c>
      <c r="O13" s="65" t="n">
        <f aca="false">O7-O8</f>
        <v>89152</v>
      </c>
      <c r="P13" s="65" t="n">
        <f aca="false">P7-P8</f>
        <v>99994.1707317073</v>
      </c>
      <c r="Q13" s="65" t="n">
        <f aca="false">Q7-Q8</f>
        <v>110610</v>
      </c>
      <c r="R13" s="65" t="n">
        <f aca="false">R7-R8</f>
        <v>121044</v>
      </c>
      <c r="S13" s="65" t="n">
        <f aca="false">S7-S8</f>
        <v>131518.14084507</v>
      </c>
      <c r="T13" s="65" t="n">
        <f aca="false">T7-T8</f>
        <v>142074.607361963</v>
      </c>
      <c r="U13" s="65" t="n">
        <f aca="false">U7-U8</f>
        <v>152668.173913044</v>
      </c>
      <c r="V13" s="65" t="n">
        <f aca="false">V7-V8</f>
        <v>163275.291262136</v>
      </c>
      <c r="W13" s="65" t="n">
        <f aca="false">W7-W8</f>
        <v>173893.519650655</v>
      </c>
      <c r="X13" s="65" t="n">
        <f aca="false">X7-X8</f>
        <v>184226.571428571</v>
      </c>
      <c r="Y13" s="65" t="n">
        <f aca="false">Y7-Y8</f>
        <v>194292</v>
      </c>
      <c r="Z13" s="65" t="n">
        <f aca="false">Z7-Z8</f>
        <v>204402</v>
      </c>
      <c r="AA13" s="65" t="n">
        <f aca="false">AA7-AA8</f>
        <v>214546.666666667</v>
      </c>
      <c r="AB13" s="65" t="n">
        <f aca="false">SUM(D13:O13)</f>
        <v>461302.653846154</v>
      </c>
      <c r="AC13" s="65" t="n">
        <f aca="false">SUM(P13:AA13)</f>
        <v>1892545.14185981</v>
      </c>
      <c r="AD13" s="65" t="n">
        <f aca="false">SUM(D13:AA13)</f>
        <v>2353847.79570597</v>
      </c>
    </row>
    <row r="14" customFormat="false" ht="15" hidden="false" customHeight="false" outlineLevel="0" collapsed="false">
      <c r="B14" s="6" t="s">
        <v>486</v>
      </c>
      <c r="D14" s="33" t="n">
        <f aca="false">IF(D7&gt;0,D13/D7,0)</f>
        <v>0</v>
      </c>
      <c r="E14" s="33" t="n">
        <f aca="false">IF(E7&gt;0,E13/E7,0)</f>
        <v>0</v>
      </c>
      <c r="F14" s="33" t="n">
        <f aca="false">IF(F7&gt;0,F13/F7,0)</f>
        <v>0</v>
      </c>
      <c r="G14" s="33" t="n">
        <f aca="false">IF(G7&gt;0,G13/G7,0)</f>
        <v>0.7646</v>
      </c>
      <c r="H14" s="33" t="n">
        <f aca="false">IF(H7&gt;0,H13/H7,0)</f>
        <v>0.7646</v>
      </c>
      <c r="I14" s="33" t="n">
        <f aca="false">IF(I7&gt;0,I13/I7,0)</f>
        <v>0.7646</v>
      </c>
      <c r="J14" s="33" t="n">
        <f aca="false">IF(J7&gt;0,J13/J7,0)</f>
        <v>0.761028571428571</v>
      </c>
      <c r="K14" s="33" t="n">
        <f aca="false">IF(K7&gt;0,K13/K7,0)</f>
        <v>0.756266666666667</v>
      </c>
      <c r="L14" s="33" t="n">
        <f aca="false">IF(L7&gt;0,L13/L7,0)</f>
        <v>0.752933333333333</v>
      </c>
      <c r="M14" s="33" t="n">
        <f aca="false">IF(M7&gt;0,M13/M7,0)</f>
        <v>0.74935</v>
      </c>
      <c r="N14" s="33" t="n">
        <f aca="false">IF(N7&gt;0,N13/N7,0)</f>
        <v>0.745753846153846</v>
      </c>
      <c r="O14" s="33" t="n">
        <f aca="false">IF(O7&gt;0,O13/O7,0)</f>
        <v>0.742933333333333</v>
      </c>
      <c r="P14" s="33" t="n">
        <f aca="false">IF(P7&gt;0,P13/P7,0)</f>
        <v>0.74069756097561</v>
      </c>
      <c r="Q14" s="33" t="n">
        <f aca="false">IF(Q7&gt;0,Q13/Q7,0)</f>
        <v>0.7374</v>
      </c>
      <c r="R14" s="33" t="n">
        <f aca="false">IF(R7&gt;0,R13/R7,0)</f>
        <v>0.7336</v>
      </c>
      <c r="S14" s="33" t="n">
        <f aca="false">IF(S7&gt;0,S13/S7,0)</f>
        <v>0.730656338028169</v>
      </c>
      <c r="T14" s="33" t="n">
        <f aca="false">IF(T7&gt;0,T13/T7,0)</f>
        <v>0.72858773006135</v>
      </c>
      <c r="U14" s="33" t="n">
        <f aca="false">IF(U7&gt;0,U13/U7,0)</f>
        <v>0.726991304347826</v>
      </c>
      <c r="V14" s="33" t="n">
        <f aca="false">IF(V7&gt;0,V13/V7,0)</f>
        <v>0.725667961165049</v>
      </c>
      <c r="W14" s="33" t="n">
        <f aca="false">IF(W7&gt;0,W13/W7,0)</f>
        <v>0.724556331877729</v>
      </c>
      <c r="X14" s="33" t="n">
        <f aca="false">IF(X7&gt;0,X13/X7,0)</f>
        <v>0.722457142857143</v>
      </c>
      <c r="Y14" s="33" t="n">
        <f aca="false">IF(Y7&gt;0,Y13/Y7,0)</f>
        <v>0.7196</v>
      </c>
      <c r="Z14" s="33" t="n">
        <f aca="false">IF(Z7&gt;0,Z13/Z7,0)</f>
        <v>0.7172</v>
      </c>
      <c r="AA14" s="33" t="n">
        <f aca="false">IF(AA7&gt;0,AA13/AA7,0)</f>
        <v>0.715155555555556</v>
      </c>
      <c r="AB14" s="82" t="n">
        <f aca="false">IF(AB7&gt;0,AB13/AB7,0)</f>
        <v>0.750085616010006</v>
      </c>
      <c r="AC14" s="82" t="n">
        <f aca="false">IF(AC7&gt;0,AC13/AC7,0)</f>
        <v>0.725113081172342</v>
      </c>
      <c r="AD14" s="82" t="n">
        <f aca="false">IF(AD7&gt;0,AD13/AD7,0)</f>
        <v>0.729875285490222</v>
      </c>
    </row>
    <row r="15" customFormat="false" ht="15" hidden="false" customHeight="false" outlineLevel="0" collapsed="false">
      <c r="B15" s="56" t="s">
        <v>487</v>
      </c>
      <c r="C15" s="57"/>
      <c r="D15" s="65" t="n">
        <f aca="false">D16+D17+D18+D19</f>
        <v>2601.66666666667</v>
      </c>
      <c r="E15" s="65" t="n">
        <f aca="false">E16+E17+E18+E19</f>
        <v>2601.66666666667</v>
      </c>
      <c r="F15" s="65" t="n">
        <f aca="false">F16+F17+F18+F19</f>
        <v>2601.66666666667</v>
      </c>
      <c r="G15" s="65" t="n">
        <f aca="false">G16+G17+G18+G19</f>
        <v>7101.66666666667</v>
      </c>
      <c r="H15" s="65" t="n">
        <f aca="false">H16+H17+H18+H19</f>
        <v>13101.6666666667</v>
      </c>
      <c r="I15" s="65" t="n">
        <f aca="false">I16+I17+I18+I19</f>
        <v>10101.6666666667</v>
      </c>
      <c r="J15" s="65" t="n">
        <f aca="false">J16+J17+J18+J19</f>
        <v>10101.6666666667</v>
      </c>
      <c r="K15" s="65" t="n">
        <f aca="false">K16+K17+K18+K19</f>
        <v>13101.6666666667</v>
      </c>
      <c r="L15" s="65" t="n">
        <f aca="false">L16+L17+L18+L19</f>
        <v>10101.6666666667</v>
      </c>
      <c r="M15" s="65" t="n">
        <f aca="false">M16+M17+M18+M19</f>
        <v>20101.6666666667</v>
      </c>
      <c r="N15" s="65" t="n">
        <f aca="false">N16+N17+N18+N19</f>
        <v>20101.6666666667</v>
      </c>
      <c r="O15" s="65" t="n">
        <f aca="false">O16+O17+O18+O19</f>
        <v>20101.6666666667</v>
      </c>
      <c r="P15" s="65" t="n">
        <f aca="false">P16+P17+P18+P19</f>
        <v>20101.6666666667</v>
      </c>
      <c r="Q15" s="65" t="n">
        <f aca="false">Q16+Q17+Q18+Q19</f>
        <v>20101.6666666667</v>
      </c>
      <c r="R15" s="65" t="n">
        <f aca="false">R16+R17+R18+R19</f>
        <v>20101.6666666667</v>
      </c>
      <c r="S15" s="65" t="n">
        <f aca="false">S16+S17+S18+S19</f>
        <v>20101.6666666667</v>
      </c>
      <c r="T15" s="65" t="n">
        <f aca="false">T16+T17+T18+T19</f>
        <v>20101.6666666667</v>
      </c>
      <c r="U15" s="65" t="n">
        <f aca="false">U16+U17+U18+U19</f>
        <v>20101.6666666667</v>
      </c>
      <c r="V15" s="65" t="n">
        <f aca="false">V16+V17+V18+V19</f>
        <v>25101.6666666667</v>
      </c>
      <c r="W15" s="65" t="n">
        <f aca="false">W16+W17+W18+W19</f>
        <v>25101.6666666667</v>
      </c>
      <c r="X15" s="65" t="n">
        <f aca="false">X16+X17+X18+X19</f>
        <v>25101.6666666667</v>
      </c>
      <c r="Y15" s="65" t="n">
        <f aca="false">Y16+Y17+Y18+Y19</f>
        <v>25101.6666666667</v>
      </c>
      <c r="Z15" s="65" t="n">
        <f aca="false">Z16+Z17+Z18+Z19</f>
        <v>25101.6666666667</v>
      </c>
      <c r="AA15" s="65" t="n">
        <f aca="false">AA16+AA17+AA18+AA19</f>
        <v>25101.6666666667</v>
      </c>
      <c r="AB15" s="65" t="n">
        <f aca="false">SUM(D15:O15)</f>
        <v>131720</v>
      </c>
      <c r="AC15" s="65" t="n">
        <f aca="false">SUM(P15:AA15)</f>
        <v>271220</v>
      </c>
      <c r="AD15" s="65" t="n">
        <f aca="false">SUM(D15:AA15)</f>
        <v>402940</v>
      </c>
    </row>
    <row r="16" customFormat="false" ht="15" hidden="false" customHeight="false" outlineLevel="0" collapsed="false">
      <c r="B16" s="6" t="s">
        <v>488</v>
      </c>
      <c r="D16" s="13" t="n">
        <f aca="false">'Custos Fixos'!D39</f>
        <v>0</v>
      </c>
      <c r="E16" s="13" t="n">
        <f aca="false">'Custos Fixos'!E39</f>
        <v>0</v>
      </c>
      <c r="F16" s="13" t="n">
        <f aca="false">'Custos Fixos'!F39</f>
        <v>0</v>
      </c>
      <c r="G16" s="13" t="n">
        <f aca="false">'Custos Fixos'!G39</f>
        <v>2600</v>
      </c>
      <c r="H16" s="13" t="n">
        <f aca="false">'Custos Fixos'!H39</f>
        <v>2600</v>
      </c>
      <c r="I16" s="13" t="n">
        <f aca="false">'Custos Fixos'!I39</f>
        <v>2600</v>
      </c>
      <c r="J16" s="13" t="n">
        <f aca="false">'Custos Fixos'!J39</f>
        <v>2600</v>
      </c>
      <c r="K16" s="13" t="n">
        <f aca="false">'Custos Fixos'!K39</f>
        <v>2600</v>
      </c>
      <c r="L16" s="13" t="n">
        <f aca="false">'Custos Fixos'!L39</f>
        <v>2600</v>
      </c>
      <c r="M16" s="13" t="n">
        <f aca="false">'Custos Fixos'!M39</f>
        <v>7150</v>
      </c>
      <c r="N16" s="13" t="n">
        <f aca="false">'Custos Fixos'!N39</f>
        <v>7150</v>
      </c>
      <c r="O16" s="13" t="n">
        <f aca="false">'Custos Fixos'!O39</f>
        <v>7150</v>
      </c>
      <c r="P16" s="13" t="n">
        <f aca="false">'Custos Fixos'!P39</f>
        <v>7150</v>
      </c>
      <c r="Q16" s="13" t="n">
        <f aca="false">'Custos Fixos'!Q39</f>
        <v>7150</v>
      </c>
      <c r="R16" s="13" t="n">
        <f aca="false">'Custos Fixos'!R39</f>
        <v>7150</v>
      </c>
      <c r="S16" s="13" t="n">
        <f aca="false">'Custos Fixos'!S39</f>
        <v>7150</v>
      </c>
      <c r="T16" s="13" t="n">
        <f aca="false">'Custos Fixos'!T39</f>
        <v>7150</v>
      </c>
      <c r="U16" s="13" t="n">
        <f aca="false">'Custos Fixos'!U39</f>
        <v>7150</v>
      </c>
      <c r="V16" s="13" t="n">
        <f aca="false">'Custos Fixos'!V39</f>
        <v>9750</v>
      </c>
      <c r="W16" s="13" t="n">
        <f aca="false">'Custos Fixos'!W39</f>
        <v>9750</v>
      </c>
      <c r="X16" s="13" t="n">
        <f aca="false">'Custos Fixos'!X39</f>
        <v>9750</v>
      </c>
      <c r="Y16" s="13" t="n">
        <f aca="false">'Custos Fixos'!Y39</f>
        <v>9750</v>
      </c>
      <c r="Z16" s="13" t="n">
        <f aca="false">'Custos Fixos'!Z39</f>
        <v>9750</v>
      </c>
      <c r="AA16" s="13" t="n">
        <f aca="false">'Custos Fixos'!AA39</f>
        <v>9750</v>
      </c>
      <c r="AB16" s="46" t="n">
        <f aca="false">SUM(D16:O16)</f>
        <v>37050</v>
      </c>
      <c r="AC16" s="46" t="n">
        <f aca="false">SUM(P16:AA16)</f>
        <v>101400</v>
      </c>
      <c r="AD16" s="46" t="n">
        <f aca="false">SUM(D16:AA16)</f>
        <v>138450</v>
      </c>
    </row>
    <row r="17" customFormat="false" ht="15" hidden="false" customHeight="false" outlineLevel="0" collapsed="false">
      <c r="B17" s="6" t="s">
        <v>489</v>
      </c>
      <c r="D17" s="13" t="n">
        <f aca="false">'Custos Fixos'!D40</f>
        <v>2500</v>
      </c>
      <c r="E17" s="13" t="n">
        <f aca="false">'Custos Fixos'!E40</f>
        <v>2500</v>
      </c>
      <c r="F17" s="13" t="n">
        <f aca="false">'Custos Fixos'!F40</f>
        <v>2500</v>
      </c>
      <c r="G17" s="13" t="n">
        <f aca="false">'Custos Fixos'!G40</f>
        <v>4400</v>
      </c>
      <c r="H17" s="13" t="n">
        <f aca="false">'Custos Fixos'!H40</f>
        <v>4400</v>
      </c>
      <c r="I17" s="13" t="n">
        <f aca="false">'Custos Fixos'!I40</f>
        <v>4400</v>
      </c>
      <c r="J17" s="13" t="n">
        <f aca="false">'Custos Fixos'!J40</f>
        <v>4400</v>
      </c>
      <c r="K17" s="13" t="n">
        <f aca="false">'Custos Fixos'!K40</f>
        <v>4400</v>
      </c>
      <c r="L17" s="13" t="n">
        <f aca="false">'Custos Fixos'!L40</f>
        <v>4400</v>
      </c>
      <c r="M17" s="13" t="n">
        <f aca="false">'Custos Fixos'!M40</f>
        <v>6850</v>
      </c>
      <c r="N17" s="13" t="n">
        <f aca="false">'Custos Fixos'!N40</f>
        <v>6850</v>
      </c>
      <c r="O17" s="13" t="n">
        <f aca="false">'Custos Fixos'!O40</f>
        <v>6850</v>
      </c>
      <c r="P17" s="13" t="n">
        <f aca="false">'Custos Fixos'!P40</f>
        <v>6850</v>
      </c>
      <c r="Q17" s="13" t="n">
        <f aca="false">'Custos Fixos'!Q40</f>
        <v>6850</v>
      </c>
      <c r="R17" s="13" t="n">
        <f aca="false">'Custos Fixos'!R40</f>
        <v>6850</v>
      </c>
      <c r="S17" s="13" t="n">
        <f aca="false">'Custos Fixos'!S40</f>
        <v>6850</v>
      </c>
      <c r="T17" s="13" t="n">
        <f aca="false">'Custos Fixos'!T40</f>
        <v>6850</v>
      </c>
      <c r="U17" s="13" t="n">
        <f aca="false">'Custos Fixos'!U40</f>
        <v>6850</v>
      </c>
      <c r="V17" s="13" t="n">
        <f aca="false">'Custos Fixos'!V40</f>
        <v>9250</v>
      </c>
      <c r="W17" s="13" t="n">
        <f aca="false">'Custos Fixos'!W40</f>
        <v>9250</v>
      </c>
      <c r="X17" s="13" t="n">
        <f aca="false">'Custos Fixos'!X40</f>
        <v>9250</v>
      </c>
      <c r="Y17" s="13" t="n">
        <f aca="false">'Custos Fixos'!Y40</f>
        <v>9250</v>
      </c>
      <c r="Z17" s="13" t="n">
        <f aca="false">'Custos Fixos'!Z40</f>
        <v>9250</v>
      </c>
      <c r="AA17" s="13" t="n">
        <f aca="false">'Custos Fixos'!AA40</f>
        <v>9250</v>
      </c>
      <c r="AB17" s="46" t="n">
        <f aca="false">SUM(D17:O17)</f>
        <v>54450</v>
      </c>
      <c r="AC17" s="46" t="n">
        <f aca="false">SUM(P17:AA17)</f>
        <v>96600</v>
      </c>
      <c r="AD17" s="46" t="n">
        <f aca="false">SUM(D17:AA17)</f>
        <v>151050</v>
      </c>
    </row>
    <row r="18" customFormat="false" ht="15" hidden="false" customHeight="false" outlineLevel="0" collapsed="false">
      <c r="B18" s="6" t="s">
        <v>490</v>
      </c>
      <c r="D18" s="13" t="n">
        <f aca="false">'Custos Variáveis'!D25</f>
        <v>0</v>
      </c>
      <c r="E18" s="13" t="n">
        <f aca="false">'Custos Variáveis'!E25</f>
        <v>0</v>
      </c>
      <c r="F18" s="13" t="n">
        <f aca="false">'Custos Variáveis'!F25</f>
        <v>0</v>
      </c>
      <c r="G18" s="13" t="n">
        <f aca="false">'Custos Variáveis'!G25</f>
        <v>0</v>
      </c>
      <c r="H18" s="13" t="n">
        <f aca="false">'Custos Variáveis'!H25</f>
        <v>6000</v>
      </c>
      <c r="I18" s="13" t="n">
        <f aca="false">'Custos Variáveis'!I25</f>
        <v>3000</v>
      </c>
      <c r="J18" s="13" t="n">
        <f aca="false">'Custos Variáveis'!J25</f>
        <v>3000</v>
      </c>
      <c r="K18" s="13" t="n">
        <f aca="false">'Custos Variáveis'!K25</f>
        <v>6000</v>
      </c>
      <c r="L18" s="13" t="n">
        <f aca="false">'Custos Variáveis'!L25</f>
        <v>3000</v>
      </c>
      <c r="M18" s="13" t="n">
        <f aca="false">'Custos Variáveis'!M25</f>
        <v>6000</v>
      </c>
      <c r="N18" s="13" t="n">
        <f aca="false">'Custos Variáveis'!N25</f>
        <v>6000</v>
      </c>
      <c r="O18" s="13" t="n">
        <f aca="false">'Custos Variáveis'!O25</f>
        <v>6000</v>
      </c>
      <c r="P18" s="13" t="n">
        <f aca="false">'Custos Variáveis'!P25</f>
        <v>6000</v>
      </c>
      <c r="Q18" s="13" t="n">
        <f aca="false">'Custos Variáveis'!Q25</f>
        <v>6000</v>
      </c>
      <c r="R18" s="13" t="n">
        <f aca="false">'Custos Variáveis'!R25</f>
        <v>6000</v>
      </c>
      <c r="S18" s="13" t="n">
        <f aca="false">'Custos Variáveis'!S25</f>
        <v>6000</v>
      </c>
      <c r="T18" s="13" t="n">
        <f aca="false">'Custos Variáveis'!T25</f>
        <v>6000</v>
      </c>
      <c r="U18" s="13" t="n">
        <f aca="false">'Custos Variáveis'!U25</f>
        <v>6000</v>
      </c>
      <c r="V18" s="13" t="n">
        <f aca="false">'Custos Variáveis'!V25</f>
        <v>6000</v>
      </c>
      <c r="W18" s="13" t="n">
        <f aca="false">'Custos Variáveis'!W25</f>
        <v>6000</v>
      </c>
      <c r="X18" s="13" t="n">
        <f aca="false">'Custos Variáveis'!X25</f>
        <v>6000</v>
      </c>
      <c r="Y18" s="13" t="n">
        <f aca="false">'Custos Variáveis'!Y25</f>
        <v>6000</v>
      </c>
      <c r="Z18" s="13" t="n">
        <f aca="false">'Custos Variáveis'!Z25</f>
        <v>6000</v>
      </c>
      <c r="AA18" s="13" t="n">
        <f aca="false">'Custos Variáveis'!AA25</f>
        <v>6000</v>
      </c>
      <c r="AB18" s="46" t="n">
        <f aca="false">SUM(D18:O18)</f>
        <v>39000</v>
      </c>
      <c r="AC18" s="46" t="n">
        <f aca="false">SUM(P18:AA18)</f>
        <v>72000</v>
      </c>
      <c r="AD18" s="46" t="n">
        <f aca="false">SUM(D18:AA18)</f>
        <v>111000</v>
      </c>
    </row>
    <row r="19" customFormat="false" ht="15" hidden="false" customHeight="false" outlineLevel="0" collapsed="false">
      <c r="B19" s="6" t="s">
        <v>491</v>
      </c>
      <c r="D19" s="13" t="n">
        <f aca="false">'Custos Fixos'!D41</f>
        <v>101.666666666667</v>
      </c>
      <c r="E19" s="13" t="n">
        <f aca="false">'Custos Fixos'!E41</f>
        <v>101.666666666667</v>
      </c>
      <c r="F19" s="13" t="n">
        <f aca="false">'Custos Fixos'!F41</f>
        <v>101.666666666667</v>
      </c>
      <c r="G19" s="13" t="n">
        <f aca="false">'Custos Fixos'!G41</f>
        <v>101.666666666667</v>
      </c>
      <c r="H19" s="13" t="n">
        <f aca="false">'Custos Fixos'!H41</f>
        <v>101.666666666667</v>
      </c>
      <c r="I19" s="13" t="n">
        <f aca="false">'Custos Fixos'!I41</f>
        <v>101.666666666667</v>
      </c>
      <c r="J19" s="13" t="n">
        <f aca="false">'Custos Fixos'!J41</f>
        <v>101.666666666667</v>
      </c>
      <c r="K19" s="13" t="n">
        <f aca="false">'Custos Fixos'!K41</f>
        <v>101.666666666667</v>
      </c>
      <c r="L19" s="13" t="n">
        <f aca="false">'Custos Fixos'!L41</f>
        <v>101.666666666667</v>
      </c>
      <c r="M19" s="13" t="n">
        <f aca="false">'Custos Fixos'!M41</f>
        <v>101.666666666667</v>
      </c>
      <c r="N19" s="13" t="n">
        <f aca="false">'Custos Fixos'!N41</f>
        <v>101.666666666667</v>
      </c>
      <c r="O19" s="13" t="n">
        <f aca="false">'Custos Fixos'!O41</f>
        <v>101.666666666667</v>
      </c>
      <c r="P19" s="13" t="n">
        <f aca="false">'Custos Fixos'!P41</f>
        <v>101.666666666667</v>
      </c>
      <c r="Q19" s="13" t="n">
        <f aca="false">'Custos Fixos'!Q41</f>
        <v>101.666666666667</v>
      </c>
      <c r="R19" s="13" t="n">
        <f aca="false">'Custos Fixos'!R41</f>
        <v>101.666666666667</v>
      </c>
      <c r="S19" s="13" t="n">
        <f aca="false">'Custos Fixos'!S41</f>
        <v>101.666666666667</v>
      </c>
      <c r="T19" s="13" t="n">
        <f aca="false">'Custos Fixos'!T41</f>
        <v>101.666666666667</v>
      </c>
      <c r="U19" s="13" t="n">
        <f aca="false">'Custos Fixos'!U41</f>
        <v>101.666666666667</v>
      </c>
      <c r="V19" s="13" t="n">
        <f aca="false">'Custos Fixos'!V41</f>
        <v>101.666666666667</v>
      </c>
      <c r="W19" s="13" t="n">
        <f aca="false">'Custos Fixos'!W41</f>
        <v>101.666666666667</v>
      </c>
      <c r="X19" s="13" t="n">
        <f aca="false">'Custos Fixos'!X41</f>
        <v>101.666666666667</v>
      </c>
      <c r="Y19" s="13" t="n">
        <f aca="false">'Custos Fixos'!Y41</f>
        <v>101.666666666667</v>
      </c>
      <c r="Z19" s="13" t="n">
        <f aca="false">'Custos Fixos'!Z41</f>
        <v>101.666666666667</v>
      </c>
      <c r="AA19" s="13" t="n">
        <f aca="false">'Custos Fixos'!AA41</f>
        <v>101.666666666667</v>
      </c>
      <c r="AB19" s="46" t="n">
        <f aca="false">SUM(D19:O19)</f>
        <v>1220</v>
      </c>
      <c r="AC19" s="46" t="n">
        <f aca="false">SUM(P19:AA19)</f>
        <v>1220</v>
      </c>
      <c r="AD19" s="46" t="n">
        <f aca="false">SUM(D19:AA19)</f>
        <v>2440</v>
      </c>
    </row>
    <row r="20" customFormat="false" ht="15" hidden="false" customHeight="false" outlineLevel="0" collapsed="false">
      <c r="B20" s="62" t="s">
        <v>492</v>
      </c>
      <c r="C20" s="63"/>
      <c r="D20" s="64" t="n">
        <f aca="false">D13-D15</f>
        <v>-3051.66666666667</v>
      </c>
      <c r="E20" s="64" t="n">
        <f aca="false">E13-E15</f>
        <v>-3051.66666666667</v>
      </c>
      <c r="F20" s="64" t="n">
        <f aca="false">F13-F15</f>
        <v>-3051.66666666667</v>
      </c>
      <c r="G20" s="64" t="n">
        <f aca="false">G13-G15</f>
        <v>10101.8333333333</v>
      </c>
      <c r="H20" s="64" t="n">
        <f aca="false">H13-H15</f>
        <v>15570.8333333333</v>
      </c>
      <c r="I20" s="64" t="n">
        <f aca="false">I13-I15</f>
        <v>24305.3333333333</v>
      </c>
      <c r="J20" s="64" t="n">
        <f aca="false">J13-J15</f>
        <v>29852.3333333333</v>
      </c>
      <c r="K20" s="64" t="n">
        <f aca="false">K13-K15</f>
        <v>37946.3333333333</v>
      </c>
      <c r="L20" s="64" t="n">
        <f aca="false">L13-L15</f>
        <v>46368.3333333333</v>
      </c>
      <c r="M20" s="64" t="n">
        <f aca="false">M13-M15</f>
        <v>47339.8333333333</v>
      </c>
      <c r="N20" s="64" t="n">
        <f aca="false">N13-N15</f>
        <v>58202.4871794872</v>
      </c>
      <c r="O20" s="64" t="n">
        <f aca="false">O13-O15</f>
        <v>69050.3333333333</v>
      </c>
      <c r="P20" s="64" t="n">
        <f aca="false">P13-P15</f>
        <v>79892.5040650406</v>
      </c>
      <c r="Q20" s="64" t="n">
        <f aca="false">Q13-Q15</f>
        <v>90508.3333333333</v>
      </c>
      <c r="R20" s="64" t="n">
        <f aca="false">R13-R15</f>
        <v>100942.333333333</v>
      </c>
      <c r="S20" s="64" t="n">
        <f aca="false">S13-S15</f>
        <v>111416.474178404</v>
      </c>
      <c r="T20" s="64" t="n">
        <f aca="false">T13-T15</f>
        <v>121972.940695297</v>
      </c>
      <c r="U20" s="64" t="n">
        <f aca="false">U13-U15</f>
        <v>132566.507246377</v>
      </c>
      <c r="V20" s="64" t="n">
        <f aca="false">V13-V15</f>
        <v>138173.624595469</v>
      </c>
      <c r="W20" s="64" t="n">
        <f aca="false">W13-W15</f>
        <v>148791.852983988</v>
      </c>
      <c r="X20" s="64" t="n">
        <f aca="false">X13-X15</f>
        <v>159124.904761905</v>
      </c>
      <c r="Y20" s="64" t="n">
        <f aca="false">Y13-Y15</f>
        <v>169190.333333333</v>
      </c>
      <c r="Z20" s="64" t="n">
        <f aca="false">Z13-Z15</f>
        <v>179300.333333333</v>
      </c>
      <c r="AA20" s="64" t="n">
        <f aca="false">AA13-AA15</f>
        <v>189445</v>
      </c>
      <c r="AB20" s="65" t="n">
        <f aca="false">SUM(D20:O20)</f>
        <v>329582.653846154</v>
      </c>
      <c r="AC20" s="65" t="n">
        <f aca="false">SUM(P20:AA20)</f>
        <v>1621325.14185981</v>
      </c>
      <c r="AD20" s="65" t="n">
        <f aca="false">SUM(D20:AA20)</f>
        <v>1950907.79570597</v>
      </c>
    </row>
    <row r="21" customFormat="false" ht="15" hidden="false" customHeight="false" outlineLevel="0" collapsed="false">
      <c r="B21" s="6" t="s">
        <v>493</v>
      </c>
      <c r="D21" s="38" t="n">
        <f aca="false">'Fluxo de Caixa'!D11-Premissas!$C$43</f>
        <v>56</v>
      </c>
      <c r="E21" s="38" t="n">
        <f aca="false">'Fluxo de Caixa'!E11-Premissas!$C$43</f>
        <v>32.848</v>
      </c>
      <c r="F21" s="38" t="n">
        <f aca="false">'Fluxo de Caixa'!F11-Premissas!$C$43</f>
        <v>9.510784</v>
      </c>
      <c r="G21" s="38" t="n">
        <f aca="false">'Fluxo de Caixa'!G11-Premissas!$C$43</f>
        <v>-14.013129728</v>
      </c>
      <c r="H21" s="38" t="n">
        <f aca="false">'Fluxo de Caixa'!H11-Premissas!$C$43</f>
        <v>-52.997234765824</v>
      </c>
      <c r="I21" s="38" t="n">
        <f aca="false">'Fluxo de Caixa'!I11-Premissas!$C$43</f>
        <v>-22.2412126439506</v>
      </c>
      <c r="J21" s="38" t="n">
        <f aca="false">'Fluxo de Caixa'!J11-Premissas!$C$43</f>
        <v>125.736857654898</v>
      </c>
      <c r="K21" s="38" t="n">
        <f aca="false">'Fluxo de Caixa'!K11-Premissas!$C$43</f>
        <v>320.774752516137</v>
      </c>
      <c r="L21" s="38" t="n">
        <f aca="false">'Fluxo de Caixa'!L11-Premissas!$C$43</f>
        <v>536.524950536266</v>
      </c>
      <c r="M21" s="38" t="n">
        <f aca="false">'Fluxo de Caixa'!M11-Premissas!$C$43</f>
        <v>867.977150140556</v>
      </c>
      <c r="N21" s="38" t="n">
        <f aca="false">'Fluxo de Caixa'!N11-Premissas!$C$43</f>
        <v>1200.63296734168</v>
      </c>
      <c r="O21" s="38" t="n">
        <f aca="false">'Fluxo de Caixa'!O11-Premissas!$C$43</f>
        <v>1587.32203108041</v>
      </c>
      <c r="P21" s="38" t="n">
        <f aca="false">'Fluxo de Caixa'!P11-Premissas!$C$43</f>
        <v>2064.00583809829</v>
      </c>
      <c r="Q21" s="38" t="n">
        <f aca="false">'Fluxo de Caixa'!Q11-Premissas!$C$43</f>
        <v>2631.28588480307</v>
      </c>
      <c r="R21" s="38" t="n">
        <f aca="false">'Fluxo de Caixa'!R11-Premissas!$C$43</f>
        <v>3289.84153773516</v>
      </c>
      <c r="S21" s="38" t="n">
        <f aca="false">'Fluxo de Caixa'!S11-Premissas!$C$43</f>
        <v>4038.59227003704</v>
      </c>
      <c r="T21" s="38" t="n">
        <f aca="false">'Fluxo de Caixa'!T11-Premissas!$C$43</f>
        <v>4876.80500819734</v>
      </c>
      <c r="U21" s="38" t="n">
        <f aca="false">'Fluxo de Caixa'!U11-Premissas!$C$43</f>
        <v>5805.51657502348</v>
      </c>
      <c r="V21" s="38" t="n">
        <f aca="false">'Fluxo de Caixa'!V11-Premissas!$C$43</f>
        <v>6826.10956651937</v>
      </c>
      <c r="W21" s="38" t="n">
        <f aca="false">'Fluxo de Caixa'!W11-Premissas!$C$43</f>
        <v>7920.41583435587</v>
      </c>
      <c r="X21" s="38" t="n">
        <f aca="false">'Fluxo de Caixa'!X11-Premissas!$C$43</f>
        <v>9087.53349112781</v>
      </c>
      <c r="Y21" s="38" t="n">
        <f aca="false">'Fluxo de Caixa'!Y11-Premissas!$C$43</f>
        <v>10348.9339162621</v>
      </c>
      <c r="Z21" s="38" t="n">
        <f aca="false">'Fluxo de Caixa'!Z11-Premissas!$C$43</f>
        <v>11703.0899590207</v>
      </c>
      <c r="AA21" s="38" t="n">
        <f aca="false">'Fluxo de Caixa'!AA11-Premissas!$C$43</f>
        <v>13148.6026786929</v>
      </c>
      <c r="AB21" s="46" t="n">
        <f aca="false">SUM(D21:O21)</f>
        <v>4648.07591613218</v>
      </c>
      <c r="AC21" s="46" t="n">
        <f aca="false">SUM(P21:AA21)</f>
        <v>81740.7325598731</v>
      </c>
      <c r="AD21" s="46" t="n">
        <f aca="false">SUM(D21:AA21)</f>
        <v>86388.8084760053</v>
      </c>
    </row>
    <row r="22" customFormat="false" ht="15" hidden="false" customHeight="false" outlineLevel="0" collapsed="false">
      <c r="B22" s="6" t="s">
        <v>494</v>
      </c>
      <c r="D22" s="38" t="n">
        <f aca="false">IF(1=1,'Investimento Inicial'!$C$12,0)</f>
        <v>5240</v>
      </c>
      <c r="E22" s="38" t="n">
        <f aca="false">IF(2=1,'Investimento Inicial'!$C$12,0)</f>
        <v>0</v>
      </c>
      <c r="F22" s="38" t="n">
        <f aca="false">IF(3=1,'Investimento Inicial'!$C$12,0)</f>
        <v>0</v>
      </c>
      <c r="G22" s="38" t="n">
        <f aca="false">IF(4=1,'Investimento Inicial'!$C$12,0)</f>
        <v>0</v>
      </c>
      <c r="H22" s="38" t="n">
        <f aca="false">IF(5=1,'Investimento Inicial'!$C$12,0)</f>
        <v>0</v>
      </c>
      <c r="I22" s="38" t="n">
        <f aca="false">IF(6=1,'Investimento Inicial'!$C$12,0)</f>
        <v>0</v>
      </c>
      <c r="J22" s="38" t="n">
        <f aca="false">IF(7=1,'Investimento Inicial'!$C$12,0)</f>
        <v>0</v>
      </c>
      <c r="K22" s="38" t="n">
        <f aca="false">IF(8=1,'Investimento Inicial'!$C$12,0)</f>
        <v>0</v>
      </c>
      <c r="L22" s="38" t="n">
        <f aca="false">IF(9=1,'Investimento Inicial'!$C$12,0)</f>
        <v>0</v>
      </c>
      <c r="M22" s="38" t="n">
        <f aca="false">IF(10=1,'Investimento Inicial'!$C$12,0)</f>
        <v>0</v>
      </c>
      <c r="N22" s="38" t="n">
        <f aca="false">IF(11=1,'Investimento Inicial'!$C$12,0)</f>
        <v>0</v>
      </c>
      <c r="O22" s="38" t="n">
        <f aca="false">IF(12=1,'Investimento Inicial'!$C$12,0)</f>
        <v>0</v>
      </c>
      <c r="P22" s="38" t="n">
        <f aca="false">IF(13=1,'Investimento Inicial'!$C$12,0)</f>
        <v>0</v>
      </c>
      <c r="Q22" s="38" t="n">
        <f aca="false">IF(14=1,'Investimento Inicial'!$C$12,0)</f>
        <v>0</v>
      </c>
      <c r="R22" s="38" t="n">
        <f aca="false">IF(15=1,'Investimento Inicial'!$C$12,0)</f>
        <v>0</v>
      </c>
      <c r="S22" s="38" t="n">
        <f aca="false">IF(16=1,'Investimento Inicial'!$C$12,0)</f>
        <v>0</v>
      </c>
      <c r="T22" s="38" t="n">
        <f aca="false">IF(17=1,'Investimento Inicial'!$C$12,0)</f>
        <v>0</v>
      </c>
      <c r="U22" s="38" t="n">
        <f aca="false">IF(18=1,'Investimento Inicial'!$C$12,0)</f>
        <v>0</v>
      </c>
      <c r="V22" s="38" t="n">
        <f aca="false">IF(19=1,'Investimento Inicial'!$C$12,0)</f>
        <v>0</v>
      </c>
      <c r="W22" s="38" t="n">
        <f aca="false">IF(20=1,'Investimento Inicial'!$C$12,0)</f>
        <v>0</v>
      </c>
      <c r="X22" s="38" t="n">
        <f aca="false">IF(21=1,'Investimento Inicial'!$C$12,0)</f>
        <v>0</v>
      </c>
      <c r="Y22" s="38" t="n">
        <f aca="false">IF(22=1,'Investimento Inicial'!$C$12,0)</f>
        <v>0</v>
      </c>
      <c r="Z22" s="38" t="n">
        <f aca="false">IF(23=1,'Investimento Inicial'!$C$12,0)</f>
        <v>0</v>
      </c>
      <c r="AA22" s="38" t="n">
        <f aca="false">IF(24=1,'Investimento Inicial'!$C$12,0)</f>
        <v>0</v>
      </c>
      <c r="AB22" s="46" t="n">
        <f aca="false">SUM(D22:O22)</f>
        <v>5240</v>
      </c>
      <c r="AC22" s="46" t="n">
        <f aca="false">SUM(P22:AA22)</f>
        <v>0</v>
      </c>
      <c r="AD22" s="46" t="n">
        <f aca="false">SUM(D22:AA22)</f>
        <v>5240</v>
      </c>
    </row>
    <row r="23" customFormat="false" ht="15" hidden="false" customHeight="false" outlineLevel="0" collapsed="false">
      <c r="B23" s="62" t="s">
        <v>495</v>
      </c>
      <c r="C23" s="63"/>
      <c r="D23" s="64" t="n">
        <f aca="false">D20+D21-D22</f>
        <v>-8235.66666666667</v>
      </c>
      <c r="E23" s="64" t="n">
        <f aca="false">E20+E21-E22</f>
        <v>-3018.81866666667</v>
      </c>
      <c r="F23" s="64" t="n">
        <f aca="false">F20+F21-F22</f>
        <v>-3042.15588266667</v>
      </c>
      <c r="G23" s="64" t="n">
        <f aca="false">G20+G21-G22</f>
        <v>10087.8202036053</v>
      </c>
      <c r="H23" s="64" t="n">
        <f aca="false">H20+H21-H22</f>
        <v>15517.8360985675</v>
      </c>
      <c r="I23" s="64" t="n">
        <f aca="false">I20+I21-I22</f>
        <v>24283.0921206894</v>
      </c>
      <c r="J23" s="64" t="n">
        <f aca="false">J20+J21-J22</f>
        <v>29978.0701909882</v>
      </c>
      <c r="K23" s="64" t="n">
        <f aca="false">K20+K21-K22</f>
        <v>38267.1080858495</v>
      </c>
      <c r="L23" s="64" t="n">
        <f aca="false">L20+L21-L22</f>
        <v>46904.8582838696</v>
      </c>
      <c r="M23" s="64" t="n">
        <f aca="false">M20+M21-M22</f>
        <v>48207.8104834739</v>
      </c>
      <c r="N23" s="64" t="n">
        <f aca="false">N20+N21-N22</f>
        <v>59403.1201468289</v>
      </c>
      <c r="O23" s="64" t="n">
        <f aca="false">O20+O21-O22</f>
        <v>70637.6553644138</v>
      </c>
      <c r="P23" s="64" t="n">
        <f aca="false">P20+P21-P22</f>
        <v>81956.5099031389</v>
      </c>
      <c r="Q23" s="64" t="n">
        <f aca="false">Q20+Q21-Q22</f>
        <v>93139.6192181364</v>
      </c>
      <c r="R23" s="64" t="n">
        <f aca="false">R20+R21-R22</f>
        <v>104232.174871068</v>
      </c>
      <c r="S23" s="64" t="n">
        <f aca="false">S20+S21-S22</f>
        <v>115455.066448441</v>
      </c>
      <c r="T23" s="64" t="n">
        <f aca="false">T20+T21-T22</f>
        <v>126849.745703494</v>
      </c>
      <c r="U23" s="64" t="n">
        <f aca="false">U20+U21-U22</f>
        <v>138372.0238214</v>
      </c>
      <c r="V23" s="64" t="n">
        <f aca="false">V20+V21-V22</f>
        <v>144999.734161989</v>
      </c>
      <c r="W23" s="64" t="n">
        <f aca="false">W20+W21-W22</f>
        <v>156712.268818344</v>
      </c>
      <c r="X23" s="64" t="n">
        <f aca="false">X20+X21-X22</f>
        <v>168212.438253033</v>
      </c>
      <c r="Y23" s="64" t="n">
        <f aca="false">Y20+Y21-Y22</f>
        <v>179539.267249595</v>
      </c>
      <c r="Z23" s="64" t="n">
        <f aca="false">Z20+Z21-Z22</f>
        <v>191003.423292354</v>
      </c>
      <c r="AA23" s="64" t="n">
        <f aca="false">AA20+AA21-AA22</f>
        <v>202593.602678693</v>
      </c>
      <c r="AB23" s="65" t="n">
        <f aca="false">SUM(D23:O23)</f>
        <v>328990.729762286</v>
      </c>
      <c r="AC23" s="65" t="n">
        <f aca="false">SUM(P23:AA23)</f>
        <v>1703065.87441969</v>
      </c>
      <c r="AD23" s="65" t="n">
        <f aca="false">SUM(D23:AA23)</f>
        <v>2032056.60418197</v>
      </c>
    </row>
    <row r="24" customFormat="false" ht="15" hidden="false" customHeight="false" outlineLevel="0" collapsed="false">
      <c r="B24" s="6" t="s">
        <v>496</v>
      </c>
      <c r="D24" s="33" t="n">
        <f aca="false">IF(D7&gt;0,D23/D7,0)</f>
        <v>0</v>
      </c>
      <c r="E24" s="33" t="n">
        <f aca="false">IF(E7&gt;0,E23/E7,0)</f>
        <v>0</v>
      </c>
      <c r="F24" s="33" t="n">
        <f aca="false">IF(F7&gt;0,F23/F7,0)</f>
        <v>0</v>
      </c>
      <c r="G24" s="33" t="n">
        <f aca="false">IF(G7&gt;0,G23/G7,0)</f>
        <v>0.448347564604681</v>
      </c>
      <c r="H24" s="33" t="n">
        <f aca="false">IF(H7&gt;0,H23/H7,0)</f>
        <v>0.413808962628467</v>
      </c>
      <c r="I24" s="33" t="n">
        <f aca="false">IF(I7&gt;0,I23/I7,0)</f>
        <v>0.539624269348653</v>
      </c>
      <c r="J24" s="33" t="n">
        <f aca="false">IF(J7&gt;0,J23/J7,0)</f>
        <v>0.571010860780728</v>
      </c>
      <c r="K24" s="33" t="n">
        <f aca="false">IF(K7&gt;0,K23/K7,0)</f>
        <v>0.566920119790363</v>
      </c>
      <c r="L24" s="33" t="n">
        <f aca="false">IF(L7&gt;0,L23/L7,0)</f>
        <v>0.625398110451595</v>
      </c>
      <c r="M24" s="33" t="n">
        <f aca="false">IF(M7&gt;0,M23/M7,0)</f>
        <v>0.535642338705265</v>
      </c>
      <c r="N24" s="33" t="n">
        <f aca="false">IF(N7&gt;0,N23/N7,0)</f>
        <v>0.56574400139837</v>
      </c>
      <c r="O24" s="33" t="n">
        <f aca="false">IF(O7&gt;0,O23/O7,0)</f>
        <v>0.588647128036781</v>
      </c>
      <c r="P24" s="33" t="n">
        <f aca="false">IF(P7&gt;0,P23/P7,0)</f>
        <v>0.60708525854177</v>
      </c>
      <c r="Q24" s="33" t="n">
        <f aca="false">IF(Q7&gt;0,Q23/Q7,0)</f>
        <v>0.620930794787576</v>
      </c>
      <c r="R24" s="33" t="n">
        <f aca="false">IF(R7&gt;0,R23/R7,0)</f>
        <v>0.631710150733749</v>
      </c>
      <c r="S24" s="33" t="n">
        <f aca="false">IF(S7&gt;0,S23/S7,0)</f>
        <v>0.641417035824671</v>
      </c>
      <c r="T24" s="33" t="n">
        <f aca="false">IF(T7&gt;0,T23/T7,0)</f>
        <v>0.650511516428174</v>
      </c>
      <c r="U24" s="33" t="n">
        <f aca="false">IF(U7&gt;0,U23/U7,0)</f>
        <v>0.658914399149525</v>
      </c>
      <c r="V24" s="33" t="n">
        <f aca="false">IF(V7&gt;0,V23/V7,0)</f>
        <v>0.644443262942172</v>
      </c>
      <c r="W24" s="33" t="n">
        <f aca="false">IF(W7&gt;0,W23/W7,0)</f>
        <v>0.652967786743101</v>
      </c>
      <c r="X24" s="33" t="n">
        <f aca="false">IF(X7&gt;0,X23/X7,0)</f>
        <v>0.659656620600128</v>
      </c>
      <c r="Y24" s="33" t="n">
        <f aca="false">IF(Y7&gt;0,Y23/Y7,0)</f>
        <v>0.664960249072576</v>
      </c>
      <c r="Z24" s="33" t="n">
        <f aca="false">IF(Z7&gt;0,Z23/Z7,0)</f>
        <v>0.670187450148611</v>
      </c>
      <c r="AA24" s="33" t="n">
        <f aca="false">IF(AA7&gt;0,AA23/AA7,0)</f>
        <v>0.675312008928976</v>
      </c>
      <c r="AB24" s="82" t="n">
        <f aca="false">IF(AB7&gt;0,AB23/AB7,0)</f>
        <v>0.534944276036238</v>
      </c>
      <c r="AC24" s="82" t="n">
        <f aca="false">IF(AC7&gt;0,AC23/AC7,0)</f>
        <v>0.652515660697198</v>
      </c>
      <c r="AD24" s="82" t="n">
        <f aca="false">IF(AD7&gt;0,AD23/AD7,0)</f>
        <v>0.630095071064178</v>
      </c>
    </row>
    <row r="25" customFormat="false" ht="15" hidden="false" customHeight="false" outlineLevel="0" collapsed="false">
      <c r="B25" s="6" t="s">
        <v>497</v>
      </c>
      <c r="D25" s="38" t="n">
        <f aca="false">N(C25)+D23</f>
        <v>-8235.66666666667</v>
      </c>
      <c r="E25" s="38" t="n">
        <f aca="false">N(D25)+E23</f>
        <v>-11254.4853333333</v>
      </c>
      <c r="F25" s="38" t="n">
        <f aca="false">N(E25)+F23</f>
        <v>-14296.641216</v>
      </c>
      <c r="G25" s="38" t="n">
        <f aca="false">N(F25)+G23</f>
        <v>-4208.82101239467</v>
      </c>
      <c r="H25" s="38" t="n">
        <f aca="false">N(G25)+H23</f>
        <v>11309.0150861728</v>
      </c>
      <c r="I25" s="38" t="n">
        <f aca="false">N(H25)+I23</f>
        <v>35592.1072068622</v>
      </c>
      <c r="J25" s="38" t="n">
        <f aca="false">N(I25)+J23</f>
        <v>65570.1773978505</v>
      </c>
      <c r="K25" s="38" t="n">
        <f aca="false">N(J25)+K23</f>
        <v>103837.2854837</v>
      </c>
      <c r="L25" s="38" t="n">
        <f aca="false">N(K25)+L23</f>
        <v>150742.14376757</v>
      </c>
      <c r="M25" s="38" t="n">
        <f aca="false">N(L25)+M23</f>
        <v>198949.954251043</v>
      </c>
      <c r="N25" s="38" t="n">
        <f aca="false">N(M25)+N23</f>
        <v>258353.074397872</v>
      </c>
      <c r="O25" s="38" t="n">
        <f aca="false">N(N25)+O23</f>
        <v>328990.729762286</v>
      </c>
      <c r="P25" s="38" t="n">
        <f aca="false">N(O25)+P23</f>
        <v>410947.239665425</v>
      </c>
      <c r="Q25" s="38" t="n">
        <f aca="false">N(P25)+Q23</f>
        <v>504086.858883561</v>
      </c>
      <c r="R25" s="38" t="n">
        <f aca="false">N(Q25)+R23</f>
        <v>608319.03375463</v>
      </c>
      <c r="S25" s="38" t="n">
        <f aca="false">N(R25)+S23</f>
        <v>723774.100203071</v>
      </c>
      <c r="T25" s="38" t="n">
        <f aca="false">N(S25)+T23</f>
        <v>850623.845906564</v>
      </c>
      <c r="U25" s="38" t="n">
        <f aca="false">N(T25)+U23</f>
        <v>988995.869727965</v>
      </c>
      <c r="V25" s="38" t="n">
        <f aca="false">N(U25)+V23</f>
        <v>1133995.60388995</v>
      </c>
      <c r="W25" s="38" t="n">
        <f aca="false">N(V25)+W23</f>
        <v>1290707.8727083</v>
      </c>
      <c r="X25" s="38" t="n">
        <f aca="false">N(W25)+X23</f>
        <v>1458920.31096133</v>
      </c>
      <c r="Y25" s="38" t="n">
        <f aca="false">N(X25)+Y23</f>
        <v>1638459.57821093</v>
      </c>
      <c r="Z25" s="38" t="n">
        <f aca="false">N(Y25)+Z23</f>
        <v>1829463.00150328</v>
      </c>
      <c r="AA25" s="38" t="n">
        <f aca="false">N(Z25)+AA23</f>
        <v>2032056.60418197</v>
      </c>
      <c r="AB25" s="46" t="n">
        <f aca="false">O25</f>
        <v>328990.729762286</v>
      </c>
      <c r="AC25" s="46" t="n">
        <f aca="false">AA25</f>
        <v>2032056.60418197</v>
      </c>
      <c r="AD25" s="46" t="n">
        <f aca="false">AA25</f>
        <v>2032056.60418197</v>
      </c>
    </row>
    <row r="26" customFormat="false" ht="15" hidden="false" customHeight="false" outlineLevel="0" collapsed="false">
      <c r="B26" s="25" t="s">
        <v>498</v>
      </c>
      <c r="D26" s="83" t="n">
        <f aca="false">IF(AND(D20&gt;=0,1&gt;=Premissas!$C$29),1,999)</f>
        <v>999</v>
      </c>
      <c r="E26" s="83" t="n">
        <f aca="false">IF(AND(E20&gt;=0,2&gt;=Premissas!$C$29),2,999)</f>
        <v>999</v>
      </c>
      <c r="F26" s="83" t="n">
        <f aca="false">IF(AND(F20&gt;=0,3&gt;=Premissas!$C$29),3,999)</f>
        <v>999</v>
      </c>
      <c r="G26" s="83" t="n">
        <f aca="false">IF(AND(G20&gt;=0,4&gt;=Premissas!$C$29),4,999)</f>
        <v>4</v>
      </c>
      <c r="H26" s="83" t="n">
        <f aca="false">IF(AND(H20&gt;=0,5&gt;=Premissas!$C$29),5,999)</f>
        <v>5</v>
      </c>
      <c r="I26" s="83" t="n">
        <f aca="false">IF(AND(I20&gt;=0,6&gt;=Premissas!$C$29),6,999)</f>
        <v>6</v>
      </c>
      <c r="J26" s="83" t="n">
        <f aca="false">IF(AND(J20&gt;=0,7&gt;=Premissas!$C$29),7,999)</f>
        <v>7</v>
      </c>
      <c r="K26" s="83" t="n">
        <f aca="false">IF(AND(K20&gt;=0,8&gt;=Premissas!$C$29),8,999)</f>
        <v>8</v>
      </c>
      <c r="L26" s="83" t="n">
        <f aca="false">IF(AND(L20&gt;=0,9&gt;=Premissas!$C$29),9,999)</f>
        <v>9</v>
      </c>
      <c r="M26" s="83" t="n">
        <f aca="false">IF(AND(M20&gt;=0,10&gt;=Premissas!$C$29),10,999)</f>
        <v>10</v>
      </c>
      <c r="N26" s="83" t="n">
        <f aca="false">IF(AND(N20&gt;=0,11&gt;=Premissas!$C$29),11,999)</f>
        <v>11</v>
      </c>
      <c r="O26" s="83" t="n">
        <f aca="false">IF(AND(O20&gt;=0,12&gt;=Premissas!$C$29),12,999)</f>
        <v>12</v>
      </c>
      <c r="P26" s="83" t="n">
        <f aca="false">IF(AND(P20&gt;=0,13&gt;=Premissas!$C$29),13,999)</f>
        <v>13</v>
      </c>
      <c r="Q26" s="83" t="n">
        <f aca="false">IF(AND(Q20&gt;=0,14&gt;=Premissas!$C$29),14,999)</f>
        <v>14</v>
      </c>
      <c r="R26" s="83" t="n">
        <f aca="false">IF(AND(R20&gt;=0,15&gt;=Premissas!$C$29),15,999)</f>
        <v>15</v>
      </c>
      <c r="S26" s="83" t="n">
        <f aca="false">IF(AND(S20&gt;=0,16&gt;=Premissas!$C$29),16,999)</f>
        <v>16</v>
      </c>
      <c r="T26" s="83" t="n">
        <f aca="false">IF(AND(T20&gt;=0,17&gt;=Premissas!$C$29),17,999)</f>
        <v>17</v>
      </c>
      <c r="U26" s="83" t="n">
        <f aca="false">IF(AND(U20&gt;=0,18&gt;=Premissas!$C$29),18,999)</f>
        <v>18</v>
      </c>
      <c r="V26" s="83" t="n">
        <f aca="false">IF(AND(V20&gt;=0,19&gt;=Premissas!$C$29),19,999)</f>
        <v>19</v>
      </c>
      <c r="W26" s="83" t="n">
        <f aca="false">IF(AND(W20&gt;=0,20&gt;=Premissas!$C$29),20,999)</f>
        <v>20</v>
      </c>
      <c r="X26" s="83" t="n">
        <f aca="false">IF(AND(X20&gt;=0,21&gt;=Premissas!$C$29),21,999)</f>
        <v>21</v>
      </c>
      <c r="Y26" s="83" t="n">
        <f aca="false">IF(AND(Y20&gt;=0,22&gt;=Premissas!$C$29),22,999)</f>
        <v>22</v>
      </c>
      <c r="Z26" s="83" t="n">
        <f aca="false">IF(AND(Z20&gt;=0,23&gt;=Premissas!$C$29),23,999)</f>
        <v>23</v>
      </c>
      <c r="AA26" s="83" t="n">
        <f aca="false">IF(AND(AA20&gt;=0,24&gt;=Premissas!$C$29),24,999)</f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B4FD8"/>
    <pageSetUpPr fitToPage="true"/>
  </sheetPr>
  <dimension ref="B2:I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2"/>
    <col collapsed="false" customWidth="true" hidden="false" outlineLevel="0" max="3" min="3" style="0" width="15"/>
    <col collapsed="false" customWidth="true" hidden="false" outlineLevel="0" max="4" min="4" style="0" width="9"/>
    <col collapsed="false" customWidth="true" hidden="false" outlineLevel="0" max="5" min="5" style="0" width="15"/>
    <col collapsed="false" customWidth="true" hidden="false" outlineLevel="0" max="6" min="6" style="0" width="9"/>
    <col collapsed="false" customWidth="true" hidden="false" outlineLevel="0" max="7" min="7" style="0" width="15"/>
    <col collapsed="false" customWidth="true" hidden="false" outlineLevel="0" max="8" min="8" style="0" width="9"/>
    <col collapsed="false" customWidth="true" hidden="false" outlineLevel="0" max="9" min="9" style="0" width="12"/>
  </cols>
  <sheetData>
    <row r="2" customFormat="false" ht="21.75" hidden="false" customHeight="true" outlineLevel="0" collapsed="false">
      <c r="B2" s="1" t="s">
        <v>499</v>
      </c>
    </row>
    <row r="3" customFormat="false" ht="15" hidden="false" customHeight="false" outlineLevel="0" collapsed="false">
      <c r="B3" s="2" t="s">
        <v>500</v>
      </c>
    </row>
    <row r="5" customFormat="false" ht="23.85" hidden="false" customHeight="false" outlineLevel="0" collapsed="false">
      <c r="B5" s="30"/>
      <c r="C5" s="30" t="s">
        <v>501</v>
      </c>
      <c r="D5" s="30" t="s">
        <v>138</v>
      </c>
      <c r="E5" s="30" t="s">
        <v>502</v>
      </c>
      <c r="F5" s="30" t="s">
        <v>138</v>
      </c>
      <c r="G5" s="30" t="s">
        <v>503</v>
      </c>
      <c r="H5" s="30" t="s">
        <v>138</v>
      </c>
      <c r="I5" s="30" t="s">
        <v>504</v>
      </c>
    </row>
    <row r="6" customFormat="false" ht="15" hidden="false" customHeight="false" outlineLevel="0" collapsed="false">
      <c r="B6" s="84" t="s">
        <v>505</v>
      </c>
      <c r="C6" s="49" t="n">
        <f aca="false">'DRE Mensal'!AB7</f>
        <v>615000</v>
      </c>
      <c r="D6" s="85" t="n">
        <f aca="false">IF(C$6&lt;&gt;0,C6/C$6,0)</f>
        <v>1</v>
      </c>
      <c r="E6" s="49" t="n">
        <f aca="false">'DRE Mensal'!AC7</f>
        <v>2610000</v>
      </c>
      <c r="F6" s="85" t="n">
        <f aca="false">IF(E$6&lt;&gt;0,E6/E$6,0)</f>
        <v>1</v>
      </c>
      <c r="G6" s="49" t="n">
        <f aca="false">'DRE Mensal'!AD7</f>
        <v>3225000</v>
      </c>
      <c r="H6" s="85" t="n">
        <f aca="false">IF(G$6&lt;&gt;0,G6/G$6,0)</f>
        <v>1</v>
      </c>
      <c r="I6" s="86" t="n">
        <f aca="false">IF(C6&lt;&gt;0,E6/C6-1,0)</f>
        <v>3.24390243902439</v>
      </c>
    </row>
    <row r="7" customFormat="false" ht="15" hidden="false" customHeight="false" outlineLevel="0" collapsed="false">
      <c r="B7" s="87" t="s">
        <v>506</v>
      </c>
      <c r="C7" s="46" t="n">
        <f aca="false">'DRE Mensal'!AB8</f>
        <v>153697.346153846</v>
      </c>
      <c r="D7" s="82" t="n">
        <f aca="false">IF(C$6&lt;&gt;0,C7/C$6,0)</f>
        <v>0.249914383989994</v>
      </c>
      <c r="E7" s="46" t="n">
        <f aca="false">'DRE Mensal'!AC8</f>
        <v>717454.858140187</v>
      </c>
      <c r="F7" s="82" t="n">
        <f aca="false">IF(E$6&lt;&gt;0,E7/E$6,0)</f>
        <v>0.274886918827658</v>
      </c>
      <c r="G7" s="46" t="n">
        <f aca="false">'DRE Mensal'!AD8</f>
        <v>871152.204294033</v>
      </c>
      <c r="H7" s="82" t="n">
        <f aca="false">IF(G$6&lt;&gt;0,G7/G$6,0)</f>
        <v>0.270124714509778</v>
      </c>
      <c r="I7" s="88" t="n">
        <f aca="false">IF(C7&lt;&gt;0,E7/C7-1,0)</f>
        <v>3.66797167351242</v>
      </c>
    </row>
    <row r="8" customFormat="false" ht="15" hidden="false" customHeight="false" outlineLevel="0" collapsed="false">
      <c r="B8" s="6" t="s">
        <v>507</v>
      </c>
      <c r="C8" s="13" t="n">
        <f aca="false">'DRE Mensal'!AB9</f>
        <v>13650</v>
      </c>
      <c r="D8" s="89" t="n">
        <f aca="false">IF(C$6&lt;&gt;0,C8/C$6,0)</f>
        <v>0.0221951219512195</v>
      </c>
      <c r="E8" s="13" t="n">
        <f aca="false">'DRE Mensal'!AC9</f>
        <v>52200</v>
      </c>
      <c r="F8" s="89" t="n">
        <f aca="false">IF(E$6&lt;&gt;0,E8/E$6,0)</f>
        <v>0.02</v>
      </c>
      <c r="G8" s="13" t="n">
        <f aca="false">'DRE Mensal'!AD9</f>
        <v>65850</v>
      </c>
      <c r="H8" s="89" t="n">
        <f aca="false">IF(G$6&lt;&gt;0,G8/G$6,0)</f>
        <v>0.0204186046511628</v>
      </c>
      <c r="I8" s="89" t="n">
        <f aca="false">IF(C8&lt;&gt;0,E8/C8-1,0)</f>
        <v>2.82417582417582</v>
      </c>
    </row>
    <row r="9" customFormat="false" ht="15" hidden="false" customHeight="false" outlineLevel="0" collapsed="false">
      <c r="B9" s="6" t="s">
        <v>482</v>
      </c>
      <c r="C9" s="13" t="n">
        <f aca="false">'DRE Mensal'!AB10</f>
        <v>102901.346153846</v>
      </c>
      <c r="D9" s="89" t="n">
        <f aca="false">IF(C$6&lt;&gt;0,C9/C$6,0)</f>
        <v>0.167319262038774</v>
      </c>
      <c r="E9" s="13" t="n">
        <f aca="false">'DRE Mensal'!AC10</f>
        <v>507610.858140187</v>
      </c>
      <c r="F9" s="89" t="n">
        <f aca="false">IF(E$6&lt;&gt;0,E9/E$6,0)</f>
        <v>0.194486918827658</v>
      </c>
      <c r="G9" s="13" t="n">
        <f aca="false">'DRE Mensal'!AD10</f>
        <v>610512.204294033</v>
      </c>
      <c r="H9" s="89" t="n">
        <f aca="false">IF(G$6&lt;&gt;0,G9/G$6,0)</f>
        <v>0.189306109858615</v>
      </c>
      <c r="I9" s="89" t="n">
        <f aca="false">IF(C9&lt;&gt;0,E9/C9-1,0)</f>
        <v>3.93298559361182</v>
      </c>
    </row>
    <row r="10" customFormat="false" ht="15" hidden="false" customHeight="false" outlineLevel="0" collapsed="false">
      <c r="B10" s="6" t="s">
        <v>508</v>
      </c>
      <c r="C10" s="13" t="n">
        <f aca="false">'DRE Mensal'!AB11</f>
        <v>30996</v>
      </c>
      <c r="D10" s="89" t="n">
        <f aca="false">IF(C$6&lt;&gt;0,C10/C$6,0)</f>
        <v>0.0504</v>
      </c>
      <c r="E10" s="13" t="n">
        <f aca="false">'DRE Mensal'!AC11</f>
        <v>131544</v>
      </c>
      <c r="F10" s="89" t="n">
        <f aca="false">IF(E$6&lt;&gt;0,E10/E$6,0)</f>
        <v>0.0504</v>
      </c>
      <c r="G10" s="13" t="n">
        <f aca="false">'DRE Mensal'!AD11</f>
        <v>162540</v>
      </c>
      <c r="H10" s="89" t="n">
        <f aca="false">IF(G$6&lt;&gt;0,G10/G$6,0)</f>
        <v>0.0504</v>
      </c>
      <c r="I10" s="89" t="n">
        <f aca="false">IF(C10&lt;&gt;0,E10/C10-1,0)</f>
        <v>3.24390243902439</v>
      </c>
    </row>
    <row r="11" customFormat="false" ht="15" hidden="false" customHeight="false" outlineLevel="0" collapsed="false">
      <c r="B11" s="6" t="s">
        <v>484</v>
      </c>
      <c r="C11" s="13" t="n">
        <f aca="false">'DRE Mensal'!AB12</f>
        <v>6150</v>
      </c>
      <c r="D11" s="89" t="n">
        <f aca="false">IF(C$6&lt;&gt;0,C11/C$6,0)</f>
        <v>0.01</v>
      </c>
      <c r="E11" s="13" t="n">
        <f aca="false">'DRE Mensal'!AC12</f>
        <v>26100</v>
      </c>
      <c r="F11" s="89" t="n">
        <f aca="false">IF(E$6&lt;&gt;0,E11/E$6,0)</f>
        <v>0.01</v>
      </c>
      <c r="G11" s="13" t="n">
        <f aca="false">'DRE Mensal'!AD12</f>
        <v>32250</v>
      </c>
      <c r="H11" s="89" t="n">
        <f aca="false">IF(G$6&lt;&gt;0,G11/G$6,0)</f>
        <v>0.01</v>
      </c>
      <c r="I11" s="89" t="n">
        <f aca="false">IF(C11&lt;&gt;0,E11/C11-1,0)</f>
        <v>3.24390243902439</v>
      </c>
    </row>
    <row r="12" customFormat="false" ht="15" hidden="false" customHeight="false" outlineLevel="0" collapsed="false">
      <c r="B12" s="87" t="s">
        <v>485</v>
      </c>
      <c r="C12" s="46" t="n">
        <f aca="false">'DRE Mensal'!AB13</f>
        <v>461302.653846154</v>
      </c>
      <c r="D12" s="82" t="n">
        <f aca="false">IF(C$6&lt;&gt;0,C12/C$6,0)</f>
        <v>0.750085616010006</v>
      </c>
      <c r="E12" s="46" t="n">
        <f aca="false">'DRE Mensal'!AC13</f>
        <v>1892545.14185981</v>
      </c>
      <c r="F12" s="82" t="n">
        <f aca="false">IF(E$6&lt;&gt;0,E12/E$6,0)</f>
        <v>0.725113081172342</v>
      </c>
      <c r="G12" s="46" t="n">
        <f aca="false">'DRE Mensal'!AD13</f>
        <v>2353847.79570597</v>
      </c>
      <c r="H12" s="82" t="n">
        <f aca="false">IF(G$6&lt;&gt;0,G12/G$6,0)</f>
        <v>0.729875285490222</v>
      </c>
      <c r="I12" s="88" t="n">
        <f aca="false">IF(C12&lt;&gt;0,E12/C12-1,0)</f>
        <v>3.10261056614468</v>
      </c>
    </row>
    <row r="13" customFormat="false" ht="15" hidden="false" customHeight="false" outlineLevel="0" collapsed="false">
      <c r="B13" s="87" t="s">
        <v>487</v>
      </c>
      <c r="C13" s="46" t="n">
        <f aca="false">'DRE Mensal'!AB15</f>
        <v>131720</v>
      </c>
      <c r="D13" s="82" t="n">
        <f aca="false">IF(C$6&lt;&gt;0,C13/C$6,0)</f>
        <v>0.214178861788618</v>
      </c>
      <c r="E13" s="46" t="n">
        <f aca="false">'DRE Mensal'!AC15</f>
        <v>271220</v>
      </c>
      <c r="F13" s="82" t="n">
        <f aca="false">IF(E$6&lt;&gt;0,E13/E$6,0)</f>
        <v>0.103915708812261</v>
      </c>
      <c r="G13" s="46" t="n">
        <f aca="false">'DRE Mensal'!AD15</f>
        <v>402940</v>
      </c>
      <c r="H13" s="82" t="n">
        <f aca="false">IF(G$6&lt;&gt;0,G13/G$6,0)</f>
        <v>0.124942635658915</v>
      </c>
      <c r="I13" s="88" t="n">
        <f aca="false">IF(C13&lt;&gt;0,E13/C13-1,0)</f>
        <v>1.05906468266019</v>
      </c>
    </row>
    <row r="14" customFormat="false" ht="15" hidden="false" customHeight="false" outlineLevel="0" collapsed="false">
      <c r="B14" s="6" t="s">
        <v>509</v>
      </c>
      <c r="C14" s="13" t="n">
        <f aca="false">'DRE Mensal'!AB16</f>
        <v>37050</v>
      </c>
      <c r="D14" s="89" t="n">
        <f aca="false">IF(C$6&lt;&gt;0,C14/C$6,0)</f>
        <v>0.0602439024390244</v>
      </c>
      <c r="E14" s="13" t="n">
        <f aca="false">'DRE Mensal'!AC16</f>
        <v>101400</v>
      </c>
      <c r="F14" s="89" t="n">
        <f aca="false">IF(E$6&lt;&gt;0,E14/E$6,0)</f>
        <v>0.0388505747126437</v>
      </c>
      <c r="G14" s="13" t="n">
        <f aca="false">'DRE Mensal'!AD16</f>
        <v>138450</v>
      </c>
      <c r="H14" s="89" t="n">
        <f aca="false">IF(G$6&lt;&gt;0,G14/G$6,0)</f>
        <v>0.0429302325581395</v>
      </c>
      <c r="I14" s="89" t="n">
        <f aca="false">IF(C14&lt;&gt;0,E14/C14-1,0)</f>
        <v>1.73684210526316</v>
      </c>
    </row>
    <row r="15" customFormat="false" ht="15" hidden="false" customHeight="false" outlineLevel="0" collapsed="false">
      <c r="B15" s="6" t="s">
        <v>510</v>
      </c>
      <c r="C15" s="13" t="n">
        <f aca="false">'DRE Mensal'!AB17</f>
        <v>54450</v>
      </c>
      <c r="D15" s="89" t="n">
        <f aca="false">IF(C$6&lt;&gt;0,C15/C$6,0)</f>
        <v>0.0885365853658537</v>
      </c>
      <c r="E15" s="13" t="n">
        <f aca="false">'DRE Mensal'!AC17</f>
        <v>96600</v>
      </c>
      <c r="F15" s="89" t="n">
        <f aca="false">IF(E$6&lt;&gt;0,E15/E$6,0)</f>
        <v>0.0370114942528736</v>
      </c>
      <c r="G15" s="13" t="n">
        <f aca="false">'DRE Mensal'!AD17</f>
        <v>151050</v>
      </c>
      <c r="H15" s="89" t="n">
        <f aca="false">IF(G$6&lt;&gt;0,G15/G$6,0)</f>
        <v>0.0468372093023256</v>
      </c>
      <c r="I15" s="89" t="n">
        <f aca="false">IF(C15&lt;&gt;0,E15/C15-1,0)</f>
        <v>0.774104683195592</v>
      </c>
    </row>
    <row r="16" customFormat="false" ht="15" hidden="false" customHeight="false" outlineLevel="0" collapsed="false">
      <c r="B16" s="6" t="s">
        <v>511</v>
      </c>
      <c r="C16" s="13" t="n">
        <f aca="false">'DRE Mensal'!AB18</f>
        <v>39000</v>
      </c>
      <c r="D16" s="89" t="n">
        <f aca="false">IF(C$6&lt;&gt;0,C16/C$6,0)</f>
        <v>0.0634146341463415</v>
      </c>
      <c r="E16" s="13" t="n">
        <f aca="false">'DRE Mensal'!AC18</f>
        <v>72000</v>
      </c>
      <c r="F16" s="89" t="n">
        <f aca="false">IF(E$6&lt;&gt;0,E16/E$6,0)</f>
        <v>0.0275862068965517</v>
      </c>
      <c r="G16" s="13" t="n">
        <f aca="false">'DRE Mensal'!AD18</f>
        <v>111000</v>
      </c>
      <c r="H16" s="89" t="n">
        <f aca="false">IF(G$6&lt;&gt;0,G16/G$6,0)</f>
        <v>0.0344186046511628</v>
      </c>
      <c r="I16" s="89" t="n">
        <f aca="false">IF(C16&lt;&gt;0,E16/C16-1,0)</f>
        <v>0.846153846153846</v>
      </c>
    </row>
    <row r="17" customFormat="false" ht="15" hidden="false" customHeight="false" outlineLevel="0" collapsed="false">
      <c r="B17" s="6" t="s">
        <v>491</v>
      </c>
      <c r="C17" s="13" t="n">
        <f aca="false">'DRE Mensal'!AB19</f>
        <v>1220</v>
      </c>
      <c r="D17" s="89" t="n">
        <f aca="false">IF(C$6&lt;&gt;0,C17/C$6,0)</f>
        <v>0.00198373983739837</v>
      </c>
      <c r="E17" s="13" t="n">
        <f aca="false">'DRE Mensal'!AC19</f>
        <v>1220</v>
      </c>
      <c r="F17" s="89" t="n">
        <f aca="false">IF(E$6&lt;&gt;0,E17/E$6,0)</f>
        <v>0.000467432950191571</v>
      </c>
      <c r="G17" s="13" t="n">
        <f aca="false">'DRE Mensal'!AD19</f>
        <v>2440</v>
      </c>
      <c r="H17" s="89" t="n">
        <f aca="false">IF(G$6&lt;&gt;0,G17/G$6,0)</f>
        <v>0.000756589147286822</v>
      </c>
      <c r="I17" s="89" t="n">
        <f aca="false">IF(C17&lt;&gt;0,E17/C17-1,0)</f>
        <v>0</v>
      </c>
    </row>
    <row r="18" customFormat="false" ht="15" hidden="false" customHeight="false" outlineLevel="0" collapsed="false">
      <c r="B18" s="84" t="s">
        <v>512</v>
      </c>
      <c r="C18" s="49" t="n">
        <f aca="false">'DRE Mensal'!AB20</f>
        <v>329582.653846154</v>
      </c>
      <c r="D18" s="85" t="n">
        <f aca="false">IF(C$6&lt;&gt;0,C18/C$6,0)</f>
        <v>0.535906754221388</v>
      </c>
      <c r="E18" s="49" t="n">
        <f aca="false">'DRE Mensal'!AC20</f>
        <v>1621325.14185981</v>
      </c>
      <c r="F18" s="85" t="n">
        <f aca="false">IF(E$6&lt;&gt;0,E18/E$6,0)</f>
        <v>0.621197372360082</v>
      </c>
      <c r="G18" s="49" t="n">
        <f aca="false">'DRE Mensal'!AD20</f>
        <v>1950907.79570597</v>
      </c>
      <c r="H18" s="85" t="n">
        <f aca="false">IF(G$6&lt;&gt;0,G18/G$6,0)</f>
        <v>0.604932649831308</v>
      </c>
      <c r="I18" s="86" t="n">
        <f aca="false">IF(C18&lt;&gt;0,E18/C18-1,0)</f>
        <v>3.91932789222771</v>
      </c>
    </row>
    <row r="19" customFormat="false" ht="15" hidden="false" customHeight="false" outlineLevel="0" collapsed="false">
      <c r="B19" s="6" t="s">
        <v>513</v>
      </c>
      <c r="C19" s="13" t="n">
        <f aca="false">'DRE Mensal'!AB21</f>
        <v>4648.07591613218</v>
      </c>
      <c r="D19" s="89" t="n">
        <f aca="false">IF(C$6&lt;&gt;0,C19/C$6,0)</f>
        <v>0.0075578470181011</v>
      </c>
      <c r="E19" s="13" t="n">
        <f aca="false">'DRE Mensal'!AC21</f>
        <v>81740.7325598731</v>
      </c>
      <c r="F19" s="89" t="n">
        <f aca="false">IF(E$6&lt;&gt;0,E19/E$6,0)</f>
        <v>0.0313182883371162</v>
      </c>
      <c r="G19" s="13" t="n">
        <f aca="false">'DRE Mensal'!AD21</f>
        <v>86388.8084760053</v>
      </c>
      <c r="H19" s="89" t="n">
        <f aca="false">IF(G$6&lt;&gt;0,G19/G$6,0)</f>
        <v>0.0267872274344203</v>
      </c>
      <c r="I19" s="89" t="n">
        <f aca="false">IF(C19&lt;&gt;0,E19/C19-1,0)</f>
        <v>16.5859288950453</v>
      </c>
    </row>
    <row r="20" customFormat="false" ht="15" hidden="false" customHeight="false" outlineLevel="0" collapsed="false">
      <c r="B20" s="6" t="s">
        <v>514</v>
      </c>
      <c r="C20" s="13" t="n">
        <f aca="false">'DRE Mensal'!AB22</f>
        <v>5240</v>
      </c>
      <c r="D20" s="89" t="n">
        <f aca="false">IF(C$6&lt;&gt;0,C20/C$6,0)</f>
        <v>0.00852032520325203</v>
      </c>
      <c r="E20" s="13" t="n">
        <f aca="false">'DRE Mensal'!AC22</f>
        <v>0</v>
      </c>
      <c r="F20" s="89" t="n">
        <f aca="false">IF(E$6&lt;&gt;0,E20/E$6,0)</f>
        <v>0</v>
      </c>
      <c r="G20" s="13" t="n">
        <f aca="false">'DRE Mensal'!AD22</f>
        <v>5240</v>
      </c>
      <c r="H20" s="89" t="n">
        <f aca="false">IF(G$6&lt;&gt;0,G20/G$6,0)</f>
        <v>0.00162480620155039</v>
      </c>
      <c r="I20" s="89" t="n">
        <f aca="false">IF(C20&lt;&gt;0,E20/C20-1,0)</f>
        <v>-1</v>
      </c>
    </row>
    <row r="21" customFormat="false" ht="15" hidden="false" customHeight="false" outlineLevel="0" collapsed="false">
      <c r="B21" s="84" t="s">
        <v>495</v>
      </c>
      <c r="C21" s="49" t="n">
        <f aca="false">'DRE Mensal'!AB23</f>
        <v>328990.729762286</v>
      </c>
      <c r="D21" s="85" t="n">
        <f aca="false">IF(C$6&lt;&gt;0,C21/C$6,0)</f>
        <v>0.534944276036238</v>
      </c>
      <c r="E21" s="49" t="n">
        <f aca="false">'DRE Mensal'!AC23</f>
        <v>1703065.87441969</v>
      </c>
      <c r="F21" s="85" t="n">
        <f aca="false">IF(E$6&lt;&gt;0,E21/E$6,0)</f>
        <v>0.652515660697198</v>
      </c>
      <c r="G21" s="49" t="n">
        <f aca="false">'DRE Mensal'!AD23</f>
        <v>2032056.60418197</v>
      </c>
      <c r="H21" s="85" t="n">
        <f aca="false">IF(G$6&lt;&gt;0,G21/G$6,0)</f>
        <v>0.630095071064178</v>
      </c>
      <c r="I21" s="86" t="n">
        <f aca="false">IF(C21&lt;&gt;0,E21/C21-1,0)</f>
        <v>4.17663788171249</v>
      </c>
    </row>
    <row r="23" customFormat="false" ht="27.75" hidden="false" customHeight="true" outlineLevel="0" collapsed="false">
      <c r="B23" s="90" t="s">
        <v>515</v>
      </c>
      <c r="C23" s="90"/>
      <c r="D23" s="90"/>
      <c r="E23" s="90"/>
      <c r="F23" s="90"/>
      <c r="G23" s="90"/>
      <c r="H23" s="90"/>
      <c r="I23" s="90"/>
    </row>
    <row r="25" customFormat="false" ht="15" hidden="false" customHeight="false" outlineLevel="0" collapsed="false">
      <c r="B25" s="25" t="s">
        <v>516</v>
      </c>
      <c r="C25" s="25" t="s">
        <v>297</v>
      </c>
      <c r="E25" s="25" t="s">
        <v>298</v>
      </c>
    </row>
    <row r="26" customFormat="false" ht="15" hidden="false" customHeight="false" outlineLevel="0" collapsed="false">
      <c r="B26" s="25" t="s">
        <v>517</v>
      </c>
      <c r="C26" s="26" t="n">
        <f aca="false">C6</f>
        <v>615000</v>
      </c>
      <c r="E26" s="26" t="n">
        <f aca="false">E6</f>
        <v>2610000</v>
      </c>
    </row>
    <row r="27" customFormat="false" ht="15" hidden="false" customHeight="false" outlineLevel="0" collapsed="false">
      <c r="B27" s="25" t="s">
        <v>518</v>
      </c>
      <c r="C27" s="26" t="n">
        <f aca="false">C7</f>
        <v>153697.346153846</v>
      </c>
      <c r="E27" s="26" t="n">
        <f aca="false">E7</f>
        <v>717454.858140187</v>
      </c>
    </row>
    <row r="28" customFormat="false" ht="15" hidden="false" customHeight="false" outlineLevel="0" collapsed="false">
      <c r="B28" s="25" t="s">
        <v>519</v>
      </c>
      <c r="C28" s="26" t="n">
        <f aca="false">C12</f>
        <v>461302.653846154</v>
      </c>
      <c r="E28" s="26" t="n">
        <f aca="false">E12</f>
        <v>1892545.14185981</v>
      </c>
    </row>
    <row r="29" customFormat="false" ht="15" hidden="false" customHeight="false" outlineLevel="0" collapsed="false">
      <c r="B29" s="25" t="s">
        <v>335</v>
      </c>
      <c r="C29" s="26" t="n">
        <f aca="false">C13</f>
        <v>131720</v>
      </c>
      <c r="E29" s="26" t="n">
        <f aca="false">E13</f>
        <v>271220</v>
      </c>
    </row>
    <row r="30" customFormat="false" ht="15" hidden="false" customHeight="false" outlineLevel="0" collapsed="false">
      <c r="B30" s="25" t="s">
        <v>520</v>
      </c>
      <c r="C30" s="26" t="n">
        <f aca="false">C21</f>
        <v>328990.729762286</v>
      </c>
      <c r="E30" s="26" t="n">
        <f aca="false">E21</f>
        <v>1703065.87441969</v>
      </c>
    </row>
  </sheetData>
  <mergeCells count="1">
    <mergeCell ref="B23:I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B4FD8"/>
    <pageSetUpPr fitToPage="true"/>
  </sheetPr>
  <dimension ref="B2:AD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6"/>
    <col collapsed="false" customWidth="true" hidden="false" outlineLevel="0" max="27" min="3" style="0" width="11.5"/>
    <col collapsed="false" customWidth="true" hidden="false" outlineLevel="0" max="30" min="28" style="0" width="13.5"/>
  </cols>
  <sheetData>
    <row r="2" customFormat="false" ht="21.75" hidden="false" customHeight="true" outlineLevel="0" collapsed="false">
      <c r="B2" s="1" t="s">
        <v>521</v>
      </c>
    </row>
    <row r="3" customFormat="false" ht="15" hidden="false" customHeight="false" outlineLevel="0" collapsed="false">
      <c r="B3" s="2" t="s">
        <v>522</v>
      </c>
    </row>
    <row r="5" customFormat="false" ht="18" hidden="false" customHeight="true" outlineLevel="0" collapsed="false">
      <c r="B5" s="4" t="s">
        <v>316</v>
      </c>
      <c r="C5" s="30" t="s">
        <v>523</v>
      </c>
      <c r="D5" s="30" t="s">
        <v>273</v>
      </c>
      <c r="E5" s="30" t="s">
        <v>274</v>
      </c>
      <c r="F5" s="30" t="s">
        <v>275</v>
      </c>
      <c r="G5" s="30" t="s">
        <v>276</v>
      </c>
      <c r="H5" s="30" t="s">
        <v>277</v>
      </c>
      <c r="I5" s="30" t="s">
        <v>278</v>
      </c>
      <c r="J5" s="30" t="s">
        <v>279</v>
      </c>
      <c r="K5" s="30" t="s">
        <v>280</v>
      </c>
      <c r="L5" s="30" t="s">
        <v>281</v>
      </c>
      <c r="M5" s="30" t="s">
        <v>282</v>
      </c>
      <c r="N5" s="30" t="s">
        <v>283</v>
      </c>
      <c r="O5" s="30" t="s">
        <v>284</v>
      </c>
      <c r="P5" s="30" t="s">
        <v>285</v>
      </c>
      <c r="Q5" s="30" t="s">
        <v>286</v>
      </c>
      <c r="R5" s="30" t="s">
        <v>287</v>
      </c>
      <c r="S5" s="30" t="s">
        <v>288</v>
      </c>
      <c r="T5" s="30" t="s">
        <v>289</v>
      </c>
      <c r="U5" s="30" t="s">
        <v>290</v>
      </c>
      <c r="V5" s="30" t="s">
        <v>291</v>
      </c>
      <c r="W5" s="30" t="s">
        <v>292</v>
      </c>
      <c r="X5" s="30" t="s">
        <v>293</v>
      </c>
      <c r="Y5" s="30" t="s">
        <v>294</v>
      </c>
      <c r="Z5" s="30" t="s">
        <v>295</v>
      </c>
      <c r="AA5" s="30" t="s">
        <v>296</v>
      </c>
      <c r="AB5" s="51" t="s">
        <v>297</v>
      </c>
      <c r="AC5" s="51" t="s">
        <v>298</v>
      </c>
      <c r="AD5" s="51" t="s">
        <v>299</v>
      </c>
    </row>
    <row r="6" customFormat="false" ht="15" hidden="false" customHeight="false" outlineLevel="0" collapsed="false">
      <c r="B6" s="25" t="s">
        <v>300</v>
      </c>
      <c r="C6" s="52" t="n">
        <v>0</v>
      </c>
      <c r="D6" s="52" t="n">
        <v>1</v>
      </c>
      <c r="E6" s="52" t="n">
        <v>2</v>
      </c>
      <c r="F6" s="52" t="n">
        <v>3</v>
      </c>
      <c r="G6" s="52" t="n">
        <v>4</v>
      </c>
      <c r="H6" s="52" t="n">
        <v>5</v>
      </c>
      <c r="I6" s="52" t="n">
        <v>6</v>
      </c>
      <c r="J6" s="52" t="n">
        <v>7</v>
      </c>
      <c r="K6" s="52" t="n">
        <v>8</v>
      </c>
      <c r="L6" s="52" t="n">
        <v>9</v>
      </c>
      <c r="M6" s="52" t="n">
        <v>10</v>
      </c>
      <c r="N6" s="52" t="n">
        <v>11</v>
      </c>
      <c r="O6" s="52" t="n">
        <v>12</v>
      </c>
      <c r="P6" s="52" t="n">
        <v>13</v>
      </c>
      <c r="Q6" s="52" t="n">
        <v>14</v>
      </c>
      <c r="R6" s="52" t="n">
        <v>15</v>
      </c>
      <c r="S6" s="52" t="n">
        <v>16</v>
      </c>
      <c r="T6" s="52" t="n">
        <v>17</v>
      </c>
      <c r="U6" s="52" t="n">
        <v>18</v>
      </c>
      <c r="V6" s="52" t="n">
        <v>19</v>
      </c>
      <c r="W6" s="52" t="n">
        <v>20</v>
      </c>
      <c r="X6" s="52" t="n">
        <v>21</v>
      </c>
      <c r="Y6" s="52" t="n">
        <v>22</v>
      </c>
      <c r="Z6" s="52" t="n">
        <v>23</v>
      </c>
      <c r="AA6" s="52" t="n">
        <v>24</v>
      </c>
    </row>
    <row r="7" customFormat="false" ht="15" hidden="false" customHeight="false" outlineLevel="0" collapsed="false">
      <c r="B7" s="6" t="s">
        <v>524</v>
      </c>
      <c r="C7" s="38" t="n">
        <v>0</v>
      </c>
      <c r="D7" s="38" t="n">
        <f aca="false">C24</f>
        <v>14500</v>
      </c>
      <c r="E7" s="38" t="n">
        <f aca="false">D24</f>
        <v>11606</v>
      </c>
      <c r="F7" s="38" t="n">
        <f aca="false">E24</f>
        <v>8688.848</v>
      </c>
      <c r="G7" s="38" t="n">
        <f aca="false">F24</f>
        <v>5748.358784</v>
      </c>
      <c r="H7" s="38" t="n">
        <f aca="false">G24</f>
        <v>875.345654272</v>
      </c>
      <c r="I7" s="38" t="n">
        <f aca="false">H24</f>
        <v>4719.84841950618</v>
      </c>
      <c r="J7" s="38" t="n">
        <f aca="false">I24</f>
        <v>23217.1072068622</v>
      </c>
      <c r="K7" s="38" t="n">
        <f aca="false">J24</f>
        <v>47596.8440645171</v>
      </c>
      <c r="L7" s="38" t="n">
        <f aca="false">K24</f>
        <v>74565.6188170333</v>
      </c>
      <c r="M7" s="38" t="n">
        <f aca="false">L24</f>
        <v>115997.14376757</v>
      </c>
      <c r="N7" s="38" t="n">
        <f aca="false">M24</f>
        <v>157579.12091771</v>
      </c>
      <c r="O7" s="38" t="n">
        <f aca="false">N24</f>
        <v>205915.253885052</v>
      </c>
      <c r="P7" s="38" t="n">
        <f aca="false">O24</f>
        <v>265500.729762286</v>
      </c>
      <c r="Q7" s="38" t="n">
        <f aca="false">P24</f>
        <v>336410.735600384</v>
      </c>
      <c r="R7" s="38" t="n">
        <f aca="false">Q24</f>
        <v>418730.192216895</v>
      </c>
      <c r="S7" s="38" t="n">
        <f aca="false">R24</f>
        <v>512324.03375463</v>
      </c>
      <c r="T7" s="38" t="n">
        <f aca="false">S24</f>
        <v>617100.626024667</v>
      </c>
      <c r="U7" s="38" t="n">
        <f aca="false">T24</f>
        <v>733189.571877935</v>
      </c>
      <c r="V7" s="38" t="n">
        <f aca="false">U24</f>
        <v>860763.695814921</v>
      </c>
      <c r="W7" s="38" t="n">
        <f aca="false">V24</f>
        <v>997551.979294484</v>
      </c>
      <c r="X7" s="38" t="n">
        <f aca="false">W24</f>
        <v>1143441.68639098</v>
      </c>
      <c r="Y7" s="38" t="n">
        <f aca="false">X24</f>
        <v>1301116.73953276</v>
      </c>
      <c r="Z7" s="38" t="n">
        <f aca="false">Y24</f>
        <v>1470386.24487759</v>
      </c>
      <c r="AA7" s="38" t="n">
        <f aca="false">Z24</f>
        <v>1651075.33483661</v>
      </c>
      <c r="AB7" s="46" t="n">
        <f aca="false">C7</f>
        <v>0</v>
      </c>
      <c r="AC7" s="46" t="n">
        <f aca="false">P7</f>
        <v>265500.729762286</v>
      </c>
      <c r="AD7" s="46" t="n">
        <f aca="false">C7</f>
        <v>0</v>
      </c>
    </row>
    <row r="8" customFormat="false" ht="15" hidden="false" customHeight="false" outlineLevel="0" collapsed="false">
      <c r="B8" s="27" t="s">
        <v>525</v>
      </c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</row>
    <row r="9" customFormat="false" ht="15" hidden="false" customHeight="false" outlineLevel="0" collapsed="false">
      <c r="B9" s="6" t="s">
        <v>264</v>
      </c>
      <c r="C9" s="13" t="n">
        <f aca="false">'Investimento Inicial'!$C$35</f>
        <v>25840</v>
      </c>
      <c r="D9" s="13" t="n">
        <v>0</v>
      </c>
      <c r="E9" s="13" t="n">
        <v>0</v>
      </c>
      <c r="F9" s="13" t="n">
        <v>0</v>
      </c>
      <c r="G9" s="13" t="n">
        <v>0</v>
      </c>
      <c r="H9" s="13" t="n">
        <v>0</v>
      </c>
      <c r="I9" s="13" t="n">
        <v>0</v>
      </c>
      <c r="J9" s="13" t="n">
        <v>0</v>
      </c>
      <c r="K9" s="13" t="n">
        <v>0</v>
      </c>
      <c r="L9" s="13" t="n">
        <v>0</v>
      </c>
      <c r="M9" s="13" t="n">
        <v>0</v>
      </c>
      <c r="N9" s="13" t="n">
        <v>0</v>
      </c>
      <c r="O9" s="13" t="n">
        <v>0</v>
      </c>
      <c r="P9" s="13" t="n">
        <v>0</v>
      </c>
      <c r="Q9" s="13" t="n">
        <v>0</v>
      </c>
      <c r="R9" s="13" t="n">
        <v>0</v>
      </c>
      <c r="S9" s="13" t="n">
        <v>0</v>
      </c>
      <c r="T9" s="13" t="n">
        <v>0</v>
      </c>
      <c r="U9" s="13" t="n">
        <v>0</v>
      </c>
      <c r="V9" s="13" t="n">
        <v>0</v>
      </c>
      <c r="W9" s="13" t="n">
        <v>0</v>
      </c>
      <c r="X9" s="13" t="n">
        <v>0</v>
      </c>
      <c r="Y9" s="13" t="n">
        <v>0</v>
      </c>
      <c r="Z9" s="13" t="n">
        <v>0</v>
      </c>
      <c r="AA9" s="13" t="n">
        <v>0</v>
      </c>
      <c r="AB9" s="46" t="n">
        <f aca="false">SUM(C9:O9)</f>
        <v>25840</v>
      </c>
      <c r="AC9" s="46" t="n">
        <f aca="false">SUM(P9:AA9)</f>
        <v>0</v>
      </c>
      <c r="AD9" s="46" t="n">
        <f aca="false">SUM(C9:AA9)</f>
        <v>25840</v>
      </c>
    </row>
    <row r="10" customFormat="false" ht="15" hidden="false" customHeight="false" outlineLevel="0" collapsed="false">
      <c r="B10" s="6" t="s">
        <v>526</v>
      </c>
      <c r="C10" s="38" t="n">
        <v>0</v>
      </c>
      <c r="D10" s="38" t="n">
        <f aca="false">0</f>
        <v>0</v>
      </c>
      <c r="E10" s="38" t="n">
        <f aca="false">'Receita e Clientes'!D15*(1-Premissas!$C$40)</f>
        <v>0</v>
      </c>
      <c r="F10" s="38" t="n">
        <f aca="false">'Receita e Clientes'!E15*(1-Premissas!$C$40)</f>
        <v>0</v>
      </c>
      <c r="G10" s="38" t="n">
        <f aca="false">'Receita e Clientes'!F15*(1-Premissas!$C$40)</f>
        <v>0</v>
      </c>
      <c r="H10" s="38" t="n">
        <f aca="false">'Receita e Clientes'!G15*(1-Premissas!$C$40)</f>
        <v>22275</v>
      </c>
      <c r="I10" s="38" t="n">
        <f aca="false">'Receita e Clientes'!H15*(1-Premissas!$C$40)</f>
        <v>37125</v>
      </c>
      <c r="J10" s="38" t="n">
        <f aca="false">'Receita e Clientes'!I15*(1-Premissas!$C$40)</f>
        <v>44550</v>
      </c>
      <c r="K10" s="38" t="n">
        <f aca="false">'Receita e Clientes'!J15*(1-Premissas!$C$40)</f>
        <v>51975</v>
      </c>
      <c r="L10" s="38" t="n">
        <f aca="false">'Receita e Clientes'!K15*(1-Premissas!$C$40)</f>
        <v>66825</v>
      </c>
      <c r="M10" s="38" t="n">
        <f aca="false">'Receita e Clientes'!L15*(1-Premissas!$C$40)</f>
        <v>74250</v>
      </c>
      <c r="N10" s="38" t="n">
        <f aca="false">'Receita e Clientes'!M15*(1-Premissas!$C$40)</f>
        <v>89100</v>
      </c>
      <c r="O10" s="38" t="n">
        <f aca="false">'Receita e Clientes'!N15*(1-Premissas!$C$40)</f>
        <v>103950</v>
      </c>
      <c r="P10" s="38" t="n">
        <f aca="false">'Receita e Clientes'!O15*(1-Premissas!$C$40)</f>
        <v>118800</v>
      </c>
      <c r="Q10" s="38" t="n">
        <f aca="false">'Receita e Clientes'!P15*(1-Premissas!$C$40)</f>
        <v>133650</v>
      </c>
      <c r="R10" s="38" t="n">
        <f aca="false">'Receita e Clientes'!Q15*(1-Premissas!$C$40)</f>
        <v>148500</v>
      </c>
      <c r="S10" s="38" t="n">
        <f aca="false">'Receita e Clientes'!R15*(1-Premissas!$C$40)</f>
        <v>163350</v>
      </c>
      <c r="T10" s="38" t="n">
        <f aca="false">'Receita e Clientes'!S15*(1-Premissas!$C$40)</f>
        <v>178200</v>
      </c>
      <c r="U10" s="38" t="n">
        <f aca="false">'Receita e Clientes'!T15*(1-Premissas!$C$40)</f>
        <v>193050</v>
      </c>
      <c r="V10" s="38" t="n">
        <f aca="false">'Receita e Clientes'!U15*(1-Premissas!$C$40)</f>
        <v>207900</v>
      </c>
      <c r="W10" s="38" t="n">
        <f aca="false">'Receita e Clientes'!V15*(1-Premissas!$C$40)</f>
        <v>222750</v>
      </c>
      <c r="X10" s="38" t="n">
        <f aca="false">'Receita e Clientes'!W15*(1-Premissas!$C$40)</f>
        <v>237600</v>
      </c>
      <c r="Y10" s="38" t="n">
        <f aca="false">'Receita e Clientes'!X15*(1-Premissas!$C$40)</f>
        <v>252450</v>
      </c>
      <c r="Z10" s="38" t="n">
        <f aca="false">'Receita e Clientes'!Y15*(1-Premissas!$C$40)</f>
        <v>267300</v>
      </c>
      <c r="AA10" s="38" t="n">
        <f aca="false">'Receita e Clientes'!Z15*(1-Premissas!$C$40)</f>
        <v>282150</v>
      </c>
      <c r="AB10" s="46" t="n">
        <f aca="false">SUM(C10:O10)</f>
        <v>490050</v>
      </c>
      <c r="AC10" s="46" t="n">
        <f aca="false">SUM(P10:AA10)</f>
        <v>2405700</v>
      </c>
      <c r="AD10" s="46" t="n">
        <f aca="false">SUM(C10:AA10)</f>
        <v>2895750</v>
      </c>
    </row>
    <row r="11" customFormat="false" ht="15" hidden="false" customHeight="false" outlineLevel="0" collapsed="false">
      <c r="B11" s="6" t="s">
        <v>527</v>
      </c>
      <c r="C11" s="38" t="n">
        <v>0</v>
      </c>
      <c r="D11" s="38" t="n">
        <f aca="false">MAX(0,D7)*Premissas!$C$44</f>
        <v>116</v>
      </c>
      <c r="E11" s="38" t="n">
        <f aca="false">MAX(0,E7)*Premissas!$C$44</f>
        <v>92.848</v>
      </c>
      <c r="F11" s="38" t="n">
        <f aca="false">MAX(0,F7)*Premissas!$C$44</f>
        <v>69.510784</v>
      </c>
      <c r="G11" s="38" t="n">
        <f aca="false">MAX(0,G7)*Premissas!$C$44</f>
        <v>45.986870272</v>
      </c>
      <c r="H11" s="38" t="n">
        <f aca="false">MAX(0,H7)*Premissas!$C$44</f>
        <v>7.002765234176</v>
      </c>
      <c r="I11" s="38" t="n">
        <f aca="false">MAX(0,I7)*Premissas!$C$44</f>
        <v>37.7587873560494</v>
      </c>
      <c r="J11" s="38" t="n">
        <f aca="false">MAX(0,J7)*Premissas!$C$44</f>
        <v>185.736857654898</v>
      </c>
      <c r="K11" s="38" t="n">
        <f aca="false">MAX(0,K7)*Premissas!$C$44</f>
        <v>380.774752516137</v>
      </c>
      <c r="L11" s="38" t="n">
        <f aca="false">MAX(0,L7)*Premissas!$C$44</f>
        <v>596.524950536266</v>
      </c>
      <c r="M11" s="38" t="n">
        <f aca="false">MAX(0,M7)*Premissas!$C$44</f>
        <v>927.977150140556</v>
      </c>
      <c r="N11" s="38" t="n">
        <f aca="false">MAX(0,N7)*Premissas!$C$44</f>
        <v>1260.63296734168</v>
      </c>
      <c r="O11" s="38" t="n">
        <f aca="false">MAX(0,O7)*Premissas!$C$44</f>
        <v>1647.32203108041</v>
      </c>
      <c r="P11" s="38" t="n">
        <f aca="false">MAX(0,P7)*Premissas!$C$44</f>
        <v>2124.00583809829</v>
      </c>
      <c r="Q11" s="38" t="n">
        <f aca="false">MAX(0,Q7)*Premissas!$C$44</f>
        <v>2691.28588480307</v>
      </c>
      <c r="R11" s="38" t="n">
        <f aca="false">MAX(0,R7)*Premissas!$C$44</f>
        <v>3349.84153773516</v>
      </c>
      <c r="S11" s="38" t="n">
        <f aca="false">MAX(0,S7)*Premissas!$C$44</f>
        <v>4098.59227003704</v>
      </c>
      <c r="T11" s="38" t="n">
        <f aca="false">MAX(0,T7)*Premissas!$C$44</f>
        <v>4936.80500819734</v>
      </c>
      <c r="U11" s="38" t="n">
        <f aca="false">MAX(0,U7)*Premissas!$C$44</f>
        <v>5865.51657502348</v>
      </c>
      <c r="V11" s="38" t="n">
        <f aca="false">MAX(0,V7)*Premissas!$C$44</f>
        <v>6886.10956651937</v>
      </c>
      <c r="W11" s="38" t="n">
        <f aca="false">MAX(0,W7)*Premissas!$C$44</f>
        <v>7980.41583435587</v>
      </c>
      <c r="X11" s="38" t="n">
        <f aca="false">MAX(0,X7)*Premissas!$C$44</f>
        <v>9147.53349112781</v>
      </c>
      <c r="Y11" s="38" t="n">
        <f aca="false">MAX(0,Y7)*Premissas!$C$44</f>
        <v>10408.9339162621</v>
      </c>
      <c r="Z11" s="38" t="n">
        <f aca="false">MAX(0,Z7)*Premissas!$C$44</f>
        <v>11763.0899590207</v>
      </c>
      <c r="AA11" s="38" t="n">
        <f aca="false">MAX(0,AA7)*Premissas!$C$44</f>
        <v>13208.6026786929</v>
      </c>
      <c r="AB11" s="46" t="n">
        <f aca="false">SUM(C11:O11)</f>
        <v>5368.07591613218</v>
      </c>
      <c r="AC11" s="46" t="n">
        <f aca="false">SUM(P11:AA11)</f>
        <v>82460.7325598731</v>
      </c>
      <c r="AD11" s="46" t="n">
        <f aca="false">SUM(C11:AA11)</f>
        <v>87828.8084760053</v>
      </c>
    </row>
    <row r="12" customFormat="false" ht="15" hidden="false" customHeight="false" outlineLevel="0" collapsed="false">
      <c r="B12" s="56" t="s">
        <v>528</v>
      </c>
      <c r="C12" s="65" t="n">
        <f aca="false">SUM(C9:C11)</f>
        <v>25840</v>
      </c>
      <c r="D12" s="65" t="n">
        <f aca="false">SUM(D9:D11)</f>
        <v>116</v>
      </c>
      <c r="E12" s="65" t="n">
        <f aca="false">SUM(E9:E11)</f>
        <v>92.848</v>
      </c>
      <c r="F12" s="65" t="n">
        <f aca="false">SUM(F9:F11)</f>
        <v>69.510784</v>
      </c>
      <c r="G12" s="65" t="n">
        <f aca="false">SUM(G9:G11)</f>
        <v>45.986870272</v>
      </c>
      <c r="H12" s="65" t="n">
        <f aca="false">SUM(H9:H11)</f>
        <v>22282.0027652342</v>
      </c>
      <c r="I12" s="65" t="n">
        <f aca="false">SUM(I9:I11)</f>
        <v>37162.7587873561</v>
      </c>
      <c r="J12" s="65" t="n">
        <f aca="false">SUM(J9:J11)</f>
        <v>44735.7368576549</v>
      </c>
      <c r="K12" s="65" t="n">
        <f aca="false">SUM(K9:K11)</f>
        <v>52355.7747525161</v>
      </c>
      <c r="L12" s="65" t="n">
        <f aca="false">SUM(L9:L11)</f>
        <v>67421.5249505363</v>
      </c>
      <c r="M12" s="65" t="n">
        <f aca="false">SUM(M9:M11)</f>
        <v>75177.9771501406</v>
      </c>
      <c r="N12" s="65" t="n">
        <f aca="false">SUM(N9:N11)</f>
        <v>90360.6329673417</v>
      </c>
      <c r="O12" s="65" t="n">
        <f aca="false">SUM(O9:O11)</f>
        <v>105597.32203108</v>
      </c>
      <c r="P12" s="65" t="n">
        <f aca="false">SUM(P9:P11)</f>
        <v>120924.005838098</v>
      </c>
      <c r="Q12" s="65" t="n">
        <f aca="false">SUM(Q9:Q11)</f>
        <v>136341.285884803</v>
      </c>
      <c r="R12" s="65" t="n">
        <f aca="false">SUM(R9:R11)</f>
        <v>151849.841537735</v>
      </c>
      <c r="S12" s="65" t="n">
        <f aca="false">SUM(S9:S11)</f>
        <v>167448.592270037</v>
      </c>
      <c r="T12" s="65" t="n">
        <f aca="false">SUM(T9:T11)</f>
        <v>183136.805008197</v>
      </c>
      <c r="U12" s="65" t="n">
        <f aca="false">SUM(U9:U11)</f>
        <v>198915.516575023</v>
      </c>
      <c r="V12" s="65" t="n">
        <f aca="false">SUM(V9:V11)</f>
        <v>214786.109566519</v>
      </c>
      <c r="W12" s="65" t="n">
        <f aca="false">SUM(W9:W11)</f>
        <v>230730.415834356</v>
      </c>
      <c r="X12" s="65" t="n">
        <f aca="false">SUM(X9:X11)</f>
        <v>246747.533491128</v>
      </c>
      <c r="Y12" s="65" t="n">
        <f aca="false">SUM(Y9:Y11)</f>
        <v>262858.933916262</v>
      </c>
      <c r="Z12" s="65" t="n">
        <f aca="false">SUM(Z9:Z11)</f>
        <v>279063.089959021</v>
      </c>
      <c r="AA12" s="65" t="n">
        <f aca="false">SUM(AA9:AA11)</f>
        <v>295358.602678693</v>
      </c>
      <c r="AB12" s="65" t="n">
        <f aca="false">SUM(C12:O12)</f>
        <v>521258.075916132</v>
      </c>
      <c r="AC12" s="65" t="n">
        <f aca="false">SUM(P12:AA12)</f>
        <v>2488160.73255987</v>
      </c>
      <c r="AD12" s="65" t="n">
        <f aca="false">SUM(C12:AA12)</f>
        <v>3009418.80847601</v>
      </c>
    </row>
    <row r="13" customFormat="false" ht="15" hidden="false" customHeight="false" outlineLevel="0" collapsed="false">
      <c r="B13" s="27" t="s">
        <v>529</v>
      </c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</row>
    <row r="14" customFormat="false" ht="15" hidden="false" customHeight="false" outlineLevel="0" collapsed="false">
      <c r="B14" s="6" t="s">
        <v>530</v>
      </c>
      <c r="C14" s="13" t="n">
        <f aca="false">'Investimento Inicial'!$C$12+'Investimento Inicial'!$C$19</f>
        <v>11340</v>
      </c>
      <c r="D14" s="13" t="n">
        <v>0</v>
      </c>
      <c r="E14" s="13" t="n">
        <v>0</v>
      </c>
      <c r="F14" s="13" t="n">
        <v>0</v>
      </c>
      <c r="G14" s="13" t="n">
        <v>0</v>
      </c>
      <c r="H14" s="13" t="n">
        <v>0</v>
      </c>
      <c r="I14" s="13" t="n">
        <v>0</v>
      </c>
      <c r="J14" s="13" t="n">
        <v>0</v>
      </c>
      <c r="K14" s="13" t="n">
        <v>0</v>
      </c>
      <c r="L14" s="13" t="n">
        <v>0</v>
      </c>
      <c r="M14" s="13" t="n">
        <v>0</v>
      </c>
      <c r="N14" s="13" t="n">
        <v>0</v>
      </c>
      <c r="O14" s="13" t="n">
        <v>0</v>
      </c>
      <c r="P14" s="13" t="n">
        <v>0</v>
      </c>
      <c r="Q14" s="13" t="n">
        <v>0</v>
      </c>
      <c r="R14" s="13" t="n">
        <v>0</v>
      </c>
      <c r="S14" s="13" t="n">
        <v>0</v>
      </c>
      <c r="T14" s="13" t="n">
        <v>0</v>
      </c>
      <c r="U14" s="13" t="n">
        <v>0</v>
      </c>
      <c r="V14" s="13" t="n">
        <v>0</v>
      </c>
      <c r="W14" s="13" t="n">
        <v>0</v>
      </c>
      <c r="X14" s="13" t="n">
        <v>0</v>
      </c>
      <c r="Y14" s="13" t="n">
        <v>0</v>
      </c>
      <c r="Z14" s="13" t="n">
        <v>0</v>
      </c>
      <c r="AA14" s="13" t="n">
        <v>0</v>
      </c>
      <c r="AB14" s="46" t="n">
        <f aca="false">SUM(C14:O14)</f>
        <v>11340</v>
      </c>
      <c r="AC14" s="46" t="n">
        <f aca="false">SUM(P14:AA14)</f>
        <v>0</v>
      </c>
      <c r="AD14" s="46" t="n">
        <f aca="false">SUM(C14:AA14)</f>
        <v>11340</v>
      </c>
    </row>
    <row r="15" customFormat="false" ht="15" hidden="false" customHeight="false" outlineLevel="0" collapsed="false">
      <c r="B15" s="6" t="s">
        <v>531</v>
      </c>
      <c r="C15" s="38" t="n">
        <v>0</v>
      </c>
      <c r="D15" s="38" t="n">
        <f aca="false">0</f>
        <v>0</v>
      </c>
      <c r="E15" s="38" t="n">
        <f aca="false">'Custos Fixos'!D39</f>
        <v>0</v>
      </c>
      <c r="F15" s="38" t="n">
        <f aca="false">'Custos Fixos'!E39</f>
        <v>0</v>
      </c>
      <c r="G15" s="38" t="n">
        <f aca="false">'Custos Fixos'!F39</f>
        <v>0</v>
      </c>
      <c r="H15" s="38" t="n">
        <f aca="false">'Custos Fixos'!G39</f>
        <v>2600</v>
      </c>
      <c r="I15" s="38" t="n">
        <f aca="false">'Custos Fixos'!H39</f>
        <v>2600</v>
      </c>
      <c r="J15" s="38" t="n">
        <f aca="false">'Custos Fixos'!I39</f>
        <v>2600</v>
      </c>
      <c r="K15" s="38" t="n">
        <f aca="false">'Custos Fixos'!J39</f>
        <v>2600</v>
      </c>
      <c r="L15" s="38" t="n">
        <f aca="false">'Custos Fixos'!K39</f>
        <v>2600</v>
      </c>
      <c r="M15" s="38" t="n">
        <f aca="false">'Custos Fixos'!L39</f>
        <v>2600</v>
      </c>
      <c r="N15" s="38" t="n">
        <f aca="false">'Custos Fixos'!M39</f>
        <v>7150</v>
      </c>
      <c r="O15" s="38" t="n">
        <f aca="false">'Custos Fixos'!N39</f>
        <v>7150</v>
      </c>
      <c r="P15" s="38" t="n">
        <f aca="false">'Custos Fixos'!O39</f>
        <v>7150</v>
      </c>
      <c r="Q15" s="38" t="n">
        <f aca="false">'Custos Fixos'!P39</f>
        <v>7150</v>
      </c>
      <c r="R15" s="38" t="n">
        <f aca="false">'Custos Fixos'!Q39</f>
        <v>7150</v>
      </c>
      <c r="S15" s="38" t="n">
        <f aca="false">'Custos Fixos'!R39</f>
        <v>7150</v>
      </c>
      <c r="T15" s="38" t="n">
        <f aca="false">'Custos Fixos'!S39</f>
        <v>7150</v>
      </c>
      <c r="U15" s="38" t="n">
        <f aca="false">'Custos Fixos'!T39</f>
        <v>7150</v>
      </c>
      <c r="V15" s="38" t="n">
        <f aca="false">'Custos Fixos'!U39</f>
        <v>7150</v>
      </c>
      <c r="W15" s="38" t="n">
        <f aca="false">'Custos Fixos'!V39</f>
        <v>9750</v>
      </c>
      <c r="X15" s="38" t="n">
        <f aca="false">'Custos Fixos'!W39</f>
        <v>9750</v>
      </c>
      <c r="Y15" s="38" t="n">
        <f aca="false">'Custos Fixos'!X39</f>
        <v>9750</v>
      </c>
      <c r="Z15" s="38" t="n">
        <f aca="false">'Custos Fixos'!Y39</f>
        <v>9750</v>
      </c>
      <c r="AA15" s="38" t="n">
        <f aca="false">'Custos Fixos'!Z39</f>
        <v>9750</v>
      </c>
      <c r="AB15" s="46" t="n">
        <f aca="false">SUM(C15:O15)</f>
        <v>29900</v>
      </c>
      <c r="AC15" s="46" t="n">
        <f aca="false">SUM(P15:AA15)</f>
        <v>98800</v>
      </c>
      <c r="AD15" s="46" t="n">
        <f aca="false">SUM(C15:AA15)</f>
        <v>128700</v>
      </c>
    </row>
    <row r="16" customFormat="false" ht="15" hidden="false" customHeight="false" outlineLevel="0" collapsed="false">
      <c r="B16" s="6" t="s">
        <v>92</v>
      </c>
      <c r="C16" s="38" t="n">
        <v>0</v>
      </c>
      <c r="D16" s="38" t="n">
        <f aca="false">'Custos Fixos'!D40</f>
        <v>2500</v>
      </c>
      <c r="E16" s="38" t="n">
        <f aca="false">'Custos Fixos'!E40</f>
        <v>2500</v>
      </c>
      <c r="F16" s="38" t="n">
        <f aca="false">'Custos Fixos'!F40</f>
        <v>2500</v>
      </c>
      <c r="G16" s="38" t="n">
        <f aca="false">'Custos Fixos'!G40</f>
        <v>4400</v>
      </c>
      <c r="H16" s="38" t="n">
        <f aca="false">'Custos Fixos'!H40</f>
        <v>4400</v>
      </c>
      <c r="I16" s="38" t="n">
        <f aca="false">'Custos Fixos'!I40</f>
        <v>4400</v>
      </c>
      <c r="J16" s="38" t="n">
        <f aca="false">'Custos Fixos'!J40</f>
        <v>4400</v>
      </c>
      <c r="K16" s="38" t="n">
        <f aca="false">'Custos Fixos'!K40</f>
        <v>4400</v>
      </c>
      <c r="L16" s="38" t="n">
        <f aca="false">'Custos Fixos'!L40</f>
        <v>4400</v>
      </c>
      <c r="M16" s="38" t="n">
        <f aca="false">'Custos Fixos'!M40</f>
        <v>6850</v>
      </c>
      <c r="N16" s="38" t="n">
        <f aca="false">'Custos Fixos'!N40</f>
        <v>6850</v>
      </c>
      <c r="O16" s="38" t="n">
        <f aca="false">'Custos Fixos'!O40</f>
        <v>6850</v>
      </c>
      <c r="P16" s="38" t="n">
        <f aca="false">'Custos Fixos'!P40</f>
        <v>6850</v>
      </c>
      <c r="Q16" s="38" t="n">
        <f aca="false">'Custos Fixos'!Q40</f>
        <v>6850</v>
      </c>
      <c r="R16" s="38" t="n">
        <f aca="false">'Custos Fixos'!R40</f>
        <v>6850</v>
      </c>
      <c r="S16" s="38" t="n">
        <f aca="false">'Custos Fixos'!S40</f>
        <v>6850</v>
      </c>
      <c r="T16" s="38" t="n">
        <f aca="false">'Custos Fixos'!T40</f>
        <v>6850</v>
      </c>
      <c r="U16" s="38" t="n">
        <f aca="false">'Custos Fixos'!U40</f>
        <v>6850</v>
      </c>
      <c r="V16" s="38" t="n">
        <f aca="false">'Custos Fixos'!V40</f>
        <v>9250</v>
      </c>
      <c r="W16" s="38" t="n">
        <f aca="false">'Custos Fixos'!W40</f>
        <v>9250</v>
      </c>
      <c r="X16" s="38" t="n">
        <f aca="false">'Custos Fixos'!X40</f>
        <v>9250</v>
      </c>
      <c r="Y16" s="38" t="n">
        <f aca="false">'Custos Fixos'!Y40</f>
        <v>9250</v>
      </c>
      <c r="Z16" s="38" t="n">
        <f aca="false">'Custos Fixos'!Z40</f>
        <v>9250</v>
      </c>
      <c r="AA16" s="38" t="n">
        <f aca="false">'Custos Fixos'!AA40</f>
        <v>9250</v>
      </c>
      <c r="AB16" s="46" t="n">
        <f aca="false">SUM(C16:O16)</f>
        <v>54450</v>
      </c>
      <c r="AC16" s="46" t="n">
        <f aca="false">SUM(P16:AA16)</f>
        <v>96600</v>
      </c>
      <c r="AD16" s="46" t="n">
        <f aca="false">SUM(C16:AA16)</f>
        <v>151050</v>
      </c>
    </row>
    <row r="17" customFormat="false" ht="15" hidden="false" customHeight="false" outlineLevel="0" collapsed="false">
      <c r="B17" s="6" t="s">
        <v>87</v>
      </c>
      <c r="C17" s="38" t="n">
        <v>0</v>
      </c>
      <c r="D17" s="38" t="n">
        <f aca="false">'Custos Variáveis'!D18</f>
        <v>450</v>
      </c>
      <c r="E17" s="38" t="n">
        <f aca="false">'Custos Variáveis'!E18</f>
        <v>450</v>
      </c>
      <c r="F17" s="38" t="n">
        <f aca="false">'Custos Variáveis'!F18</f>
        <v>450</v>
      </c>
      <c r="G17" s="38" t="n">
        <f aca="false">'Custos Variáveis'!G18</f>
        <v>450</v>
      </c>
      <c r="H17" s="38" t="n">
        <f aca="false">'Custos Variáveis'!H18</f>
        <v>750</v>
      </c>
      <c r="I17" s="38" t="n">
        <f aca="false">'Custos Variáveis'!I18</f>
        <v>900</v>
      </c>
      <c r="J17" s="38" t="n">
        <f aca="false">'Custos Variáveis'!J18</f>
        <v>1050</v>
      </c>
      <c r="K17" s="38" t="n">
        <f aca="false">'Custos Variáveis'!K18</f>
        <v>1350</v>
      </c>
      <c r="L17" s="38" t="n">
        <f aca="false">'Custos Variáveis'!L18</f>
        <v>1500</v>
      </c>
      <c r="M17" s="38" t="n">
        <f aca="false">'Custos Variáveis'!M18</f>
        <v>1800</v>
      </c>
      <c r="N17" s="38" t="n">
        <f aca="false">'Custos Variáveis'!N18</f>
        <v>2100</v>
      </c>
      <c r="O17" s="38" t="n">
        <f aca="false">'Custos Variáveis'!O18</f>
        <v>2400</v>
      </c>
      <c r="P17" s="38" t="n">
        <f aca="false">'Custos Variáveis'!P18</f>
        <v>2700</v>
      </c>
      <c r="Q17" s="38" t="n">
        <f aca="false">'Custos Variáveis'!Q18</f>
        <v>3000</v>
      </c>
      <c r="R17" s="38" t="n">
        <f aca="false">'Custos Variáveis'!R18</f>
        <v>3300</v>
      </c>
      <c r="S17" s="38" t="n">
        <f aca="false">'Custos Variáveis'!S18</f>
        <v>3600</v>
      </c>
      <c r="T17" s="38" t="n">
        <f aca="false">'Custos Variáveis'!T18</f>
        <v>3900</v>
      </c>
      <c r="U17" s="38" t="n">
        <f aca="false">'Custos Variáveis'!U18</f>
        <v>4200</v>
      </c>
      <c r="V17" s="38" t="n">
        <f aca="false">'Custos Variáveis'!V18</f>
        <v>4500</v>
      </c>
      <c r="W17" s="38" t="n">
        <f aca="false">'Custos Variáveis'!W18</f>
        <v>4800</v>
      </c>
      <c r="X17" s="38" t="n">
        <f aca="false">'Custos Variáveis'!X18</f>
        <v>5100</v>
      </c>
      <c r="Y17" s="38" t="n">
        <f aca="false">'Custos Variáveis'!Y18</f>
        <v>5400</v>
      </c>
      <c r="Z17" s="38" t="n">
        <f aca="false">'Custos Variáveis'!Z18</f>
        <v>5700</v>
      </c>
      <c r="AA17" s="38" t="n">
        <f aca="false">'Custos Variáveis'!AA18</f>
        <v>6000</v>
      </c>
      <c r="AB17" s="46" t="n">
        <f aca="false">SUM(C17:O17)</f>
        <v>13650</v>
      </c>
      <c r="AC17" s="46" t="n">
        <f aca="false">SUM(P17:AA17)</f>
        <v>52200</v>
      </c>
      <c r="AD17" s="46" t="n">
        <f aca="false">SUM(C17:AA17)</f>
        <v>65850</v>
      </c>
    </row>
    <row r="18" customFormat="false" ht="15" hidden="false" customHeight="false" outlineLevel="0" collapsed="false">
      <c r="B18" s="6" t="s">
        <v>532</v>
      </c>
      <c r="C18" s="38" t="n">
        <v>0</v>
      </c>
      <c r="D18" s="38" t="n">
        <f aca="false">'Custos Variáveis'!D25</f>
        <v>0</v>
      </c>
      <c r="E18" s="38" t="n">
        <f aca="false">'Custos Variáveis'!E25</f>
        <v>0</v>
      </c>
      <c r="F18" s="38" t="n">
        <f aca="false">'Custos Variáveis'!F25</f>
        <v>0</v>
      </c>
      <c r="G18" s="38" t="n">
        <f aca="false">'Custos Variáveis'!G25</f>
        <v>0</v>
      </c>
      <c r="H18" s="38" t="n">
        <f aca="false">'Custos Variáveis'!H25</f>
        <v>6000</v>
      </c>
      <c r="I18" s="38" t="n">
        <f aca="false">'Custos Variáveis'!I25</f>
        <v>3000</v>
      </c>
      <c r="J18" s="38" t="n">
        <f aca="false">'Custos Variáveis'!J25</f>
        <v>3000</v>
      </c>
      <c r="K18" s="38" t="n">
        <f aca="false">'Custos Variáveis'!K25</f>
        <v>6000</v>
      </c>
      <c r="L18" s="38" t="n">
        <f aca="false">'Custos Variáveis'!L25</f>
        <v>3000</v>
      </c>
      <c r="M18" s="38" t="n">
        <f aca="false">'Custos Variáveis'!M25</f>
        <v>6000</v>
      </c>
      <c r="N18" s="38" t="n">
        <f aca="false">'Custos Variáveis'!N25</f>
        <v>6000</v>
      </c>
      <c r="O18" s="38" t="n">
        <f aca="false">'Custos Variáveis'!O25</f>
        <v>6000</v>
      </c>
      <c r="P18" s="38" t="n">
        <f aca="false">'Custos Variáveis'!P25</f>
        <v>6000</v>
      </c>
      <c r="Q18" s="38" t="n">
        <f aca="false">'Custos Variáveis'!Q25</f>
        <v>6000</v>
      </c>
      <c r="R18" s="38" t="n">
        <f aca="false">'Custos Variáveis'!R25</f>
        <v>6000</v>
      </c>
      <c r="S18" s="38" t="n">
        <f aca="false">'Custos Variáveis'!S25</f>
        <v>6000</v>
      </c>
      <c r="T18" s="38" t="n">
        <f aca="false">'Custos Variáveis'!T25</f>
        <v>6000</v>
      </c>
      <c r="U18" s="38" t="n">
        <f aca="false">'Custos Variáveis'!U25</f>
        <v>6000</v>
      </c>
      <c r="V18" s="38" t="n">
        <f aca="false">'Custos Variáveis'!V25</f>
        <v>6000</v>
      </c>
      <c r="W18" s="38" t="n">
        <f aca="false">'Custos Variáveis'!W25</f>
        <v>6000</v>
      </c>
      <c r="X18" s="38" t="n">
        <f aca="false">'Custos Variáveis'!X25</f>
        <v>6000</v>
      </c>
      <c r="Y18" s="38" t="n">
        <f aca="false">'Custos Variáveis'!Y25</f>
        <v>6000</v>
      </c>
      <c r="Z18" s="38" t="n">
        <f aca="false">'Custos Variáveis'!Z25</f>
        <v>6000</v>
      </c>
      <c r="AA18" s="38" t="n">
        <f aca="false">'Custos Variáveis'!AA25</f>
        <v>6000</v>
      </c>
      <c r="AB18" s="46" t="n">
        <f aca="false">SUM(C18:O18)</f>
        <v>39000</v>
      </c>
      <c r="AC18" s="46" t="n">
        <f aca="false">SUM(P18:AA18)</f>
        <v>72000</v>
      </c>
      <c r="AD18" s="46" t="n">
        <f aca="false">SUM(C18:AA18)</f>
        <v>111000</v>
      </c>
    </row>
    <row r="19" customFormat="false" ht="15" hidden="false" customHeight="false" outlineLevel="0" collapsed="false">
      <c r="B19" s="6" t="s">
        <v>533</v>
      </c>
      <c r="C19" s="38" t="n">
        <v>0</v>
      </c>
      <c r="D19" s="38" t="n">
        <f aca="false">0</f>
        <v>0</v>
      </c>
      <c r="E19" s="38" t="n">
        <f aca="false">'Custos Variáveis'!D19</f>
        <v>0</v>
      </c>
      <c r="F19" s="38" t="n">
        <f aca="false">'Custos Variáveis'!E19</f>
        <v>0</v>
      </c>
      <c r="G19" s="38" t="n">
        <f aca="false">'Custos Variáveis'!F19</f>
        <v>0</v>
      </c>
      <c r="H19" s="38" t="n">
        <f aca="false">'Custos Variáveis'!G19</f>
        <v>3487.5</v>
      </c>
      <c r="I19" s="38" t="n">
        <f aca="false">'Custos Variáveis'!H19</f>
        <v>5812.5</v>
      </c>
      <c r="J19" s="38" t="n">
        <f aca="false">'Custos Variáveis'!I19</f>
        <v>6975</v>
      </c>
      <c r="K19" s="38" t="n">
        <f aca="false">'Custos Variáveis'!J19</f>
        <v>8325</v>
      </c>
      <c r="L19" s="38" t="n">
        <f aca="false">'Custos Variáveis'!K19</f>
        <v>11025</v>
      </c>
      <c r="M19" s="38" t="n">
        <f aca="false">'Custos Variáveis'!L19</f>
        <v>12500</v>
      </c>
      <c r="N19" s="38" t="n">
        <f aca="false">'Custos Variáveis'!M19</f>
        <v>15322.5</v>
      </c>
      <c r="O19" s="38" t="n">
        <f aca="false">'Custos Variáveis'!N19</f>
        <v>18253.8461538462</v>
      </c>
      <c r="P19" s="38" t="n">
        <f aca="false">'Custos Variáveis'!O19</f>
        <v>21200</v>
      </c>
      <c r="Q19" s="38" t="n">
        <f aca="false">'Custos Variáveis'!P19</f>
        <v>24151.8292682927</v>
      </c>
      <c r="R19" s="38" t="n">
        <f aca="false">'Custos Variáveis'!Q19</f>
        <v>27330</v>
      </c>
      <c r="S19" s="38" t="n">
        <f aca="false">'Custos Variáveis'!R19</f>
        <v>30690</v>
      </c>
      <c r="T19" s="38" t="n">
        <f aca="false">'Custos Variáveis'!S19</f>
        <v>34009.8591549296</v>
      </c>
      <c r="U19" s="38" t="n">
        <f aca="false">'Custos Variáveis'!T19</f>
        <v>37247.3926380368</v>
      </c>
      <c r="V19" s="38" t="n">
        <f aca="false">'Custos Variáveis'!U19</f>
        <v>40447.8260869565</v>
      </c>
      <c r="W19" s="38" t="n">
        <f aca="false">'Custos Variáveis'!V19</f>
        <v>43634.7087378641</v>
      </c>
      <c r="X19" s="38" t="n">
        <f aca="false">'Custos Variáveis'!W19</f>
        <v>46810.480349345</v>
      </c>
      <c r="Y19" s="38" t="n">
        <f aca="false">'Custos Variáveis'!X19</f>
        <v>50271.4285714286</v>
      </c>
      <c r="Z19" s="38" t="n">
        <f aca="false">'Custos Variáveis'!Y19</f>
        <v>54000</v>
      </c>
      <c r="AA19" s="38" t="n">
        <f aca="false">'Custos Variáveis'!Z19</f>
        <v>57684</v>
      </c>
      <c r="AB19" s="46" t="n">
        <f aca="false">SUM(C19:O19)</f>
        <v>81701.3461538462</v>
      </c>
      <c r="AC19" s="46" t="n">
        <f aca="false">SUM(P19:AA19)</f>
        <v>467477.524806853</v>
      </c>
      <c r="AD19" s="46" t="n">
        <f aca="false">SUM(C19:AA19)</f>
        <v>549178.870960699</v>
      </c>
    </row>
    <row r="20" customFormat="false" ht="15" hidden="false" customHeight="false" outlineLevel="0" collapsed="false">
      <c r="B20" s="6" t="s">
        <v>534</v>
      </c>
      <c r="C20" s="38" t="n">
        <v>0</v>
      </c>
      <c r="D20" s="38" t="n">
        <f aca="false">0</f>
        <v>0</v>
      </c>
      <c r="E20" s="38" t="n">
        <f aca="false">'Custos Variáveis'!D20</f>
        <v>0</v>
      </c>
      <c r="F20" s="38" t="n">
        <f aca="false">'Custos Variáveis'!E20</f>
        <v>0</v>
      </c>
      <c r="G20" s="38" t="n">
        <f aca="false">'Custos Variáveis'!F20</f>
        <v>0</v>
      </c>
      <c r="H20" s="38" t="n">
        <f aca="false">'Custos Variáveis'!G20</f>
        <v>1125</v>
      </c>
      <c r="I20" s="38" t="n">
        <f aca="false">'Custos Variáveis'!H20</f>
        <v>1875</v>
      </c>
      <c r="J20" s="38" t="n">
        <f aca="false">'Custos Variáveis'!I20</f>
        <v>2250</v>
      </c>
      <c r="K20" s="38" t="n">
        <f aca="false">'Custos Variáveis'!J20</f>
        <v>2625</v>
      </c>
      <c r="L20" s="38" t="n">
        <f aca="false">'Custos Variáveis'!K20</f>
        <v>3375</v>
      </c>
      <c r="M20" s="38" t="n">
        <f aca="false">'Custos Variáveis'!L20</f>
        <v>3750</v>
      </c>
      <c r="N20" s="38" t="n">
        <f aca="false">'Custos Variáveis'!M20</f>
        <v>4500</v>
      </c>
      <c r="O20" s="38" t="n">
        <f aca="false">'Custos Variáveis'!N20</f>
        <v>5250</v>
      </c>
      <c r="P20" s="38" t="n">
        <f aca="false">'Custos Variáveis'!O20</f>
        <v>6000</v>
      </c>
      <c r="Q20" s="38" t="n">
        <f aca="false">'Custos Variáveis'!P20</f>
        <v>6750</v>
      </c>
      <c r="R20" s="38" t="n">
        <f aca="false">'Custos Variáveis'!Q20</f>
        <v>7500</v>
      </c>
      <c r="S20" s="38" t="n">
        <f aca="false">'Custos Variáveis'!R20</f>
        <v>8250</v>
      </c>
      <c r="T20" s="38" t="n">
        <f aca="false">'Custos Variáveis'!S20</f>
        <v>9000</v>
      </c>
      <c r="U20" s="38" t="n">
        <f aca="false">'Custos Variáveis'!T20</f>
        <v>9750</v>
      </c>
      <c r="V20" s="38" t="n">
        <f aca="false">'Custos Variáveis'!U20</f>
        <v>10500</v>
      </c>
      <c r="W20" s="38" t="n">
        <f aca="false">'Custos Variáveis'!V20</f>
        <v>11250</v>
      </c>
      <c r="X20" s="38" t="n">
        <f aca="false">'Custos Variáveis'!W20</f>
        <v>12000</v>
      </c>
      <c r="Y20" s="38" t="n">
        <f aca="false">'Custos Variáveis'!X20</f>
        <v>12750</v>
      </c>
      <c r="Z20" s="38" t="n">
        <f aca="false">'Custos Variáveis'!Y20</f>
        <v>13500</v>
      </c>
      <c r="AA20" s="38" t="n">
        <f aca="false">'Custos Variáveis'!Z20</f>
        <v>14250</v>
      </c>
      <c r="AB20" s="46" t="n">
        <f aca="false">SUM(C20:O20)</f>
        <v>24750</v>
      </c>
      <c r="AC20" s="46" t="n">
        <f aca="false">SUM(P20:AA20)</f>
        <v>121500</v>
      </c>
      <c r="AD20" s="46" t="n">
        <f aca="false">SUM(C20:AA20)</f>
        <v>146250</v>
      </c>
    </row>
    <row r="21" customFormat="false" ht="15" hidden="false" customHeight="false" outlineLevel="0" collapsed="false">
      <c r="B21" s="6" t="s">
        <v>535</v>
      </c>
      <c r="C21" s="38" t="n">
        <v>0</v>
      </c>
      <c r="D21" s="38" t="n">
        <f aca="false">'Custos Variáveis'!D21+Premissas!$C$43</f>
        <v>60</v>
      </c>
      <c r="E21" s="38" t="n">
        <f aca="false">'Custos Variáveis'!E21+Premissas!$C$43</f>
        <v>60</v>
      </c>
      <c r="F21" s="38" t="n">
        <f aca="false">'Custos Variáveis'!F21+Premissas!$C$43</f>
        <v>60</v>
      </c>
      <c r="G21" s="38" t="n">
        <f aca="false">'Custos Variáveis'!G21+Premissas!$C$43</f>
        <v>69</v>
      </c>
      <c r="H21" s="38" t="n">
        <f aca="false">'Custos Variáveis'!H21+Premissas!$C$43</f>
        <v>75</v>
      </c>
      <c r="I21" s="38" t="n">
        <f aca="false">'Custos Variáveis'!I21+Premissas!$C$43</f>
        <v>78</v>
      </c>
      <c r="J21" s="38" t="n">
        <f aca="false">'Custos Variáveis'!J21+Premissas!$C$43</f>
        <v>81</v>
      </c>
      <c r="K21" s="38" t="n">
        <f aca="false">'Custos Variáveis'!K21+Premissas!$C$43</f>
        <v>87</v>
      </c>
      <c r="L21" s="38" t="n">
        <f aca="false">'Custos Variáveis'!L21+Premissas!$C$43</f>
        <v>90</v>
      </c>
      <c r="M21" s="38" t="n">
        <f aca="false">'Custos Variáveis'!M21+Premissas!$C$43</f>
        <v>96</v>
      </c>
      <c r="N21" s="38" t="n">
        <f aca="false">'Custos Variáveis'!N21+Premissas!$C$43</f>
        <v>102</v>
      </c>
      <c r="O21" s="38" t="n">
        <f aca="false">'Custos Variáveis'!O21+Premissas!$C$43</f>
        <v>108</v>
      </c>
      <c r="P21" s="38" t="n">
        <f aca="false">'Custos Variáveis'!P21+Premissas!$C$43</f>
        <v>114</v>
      </c>
      <c r="Q21" s="38" t="n">
        <f aca="false">'Custos Variáveis'!Q21+Premissas!$C$43</f>
        <v>120</v>
      </c>
      <c r="R21" s="38" t="n">
        <f aca="false">'Custos Variáveis'!R21+Premissas!$C$43</f>
        <v>126</v>
      </c>
      <c r="S21" s="38" t="n">
        <f aca="false">'Custos Variáveis'!S21+Premissas!$C$43</f>
        <v>132</v>
      </c>
      <c r="T21" s="38" t="n">
        <f aca="false">'Custos Variáveis'!T21+Premissas!$C$43</f>
        <v>138</v>
      </c>
      <c r="U21" s="38" t="n">
        <f aca="false">'Custos Variáveis'!U21+Premissas!$C$43</f>
        <v>144</v>
      </c>
      <c r="V21" s="38" t="n">
        <f aca="false">'Custos Variáveis'!V21+Premissas!$C$43</f>
        <v>150</v>
      </c>
      <c r="W21" s="38" t="n">
        <f aca="false">'Custos Variáveis'!W21+Premissas!$C$43</f>
        <v>156</v>
      </c>
      <c r="X21" s="38" t="n">
        <f aca="false">'Custos Variáveis'!X21+Premissas!$C$43</f>
        <v>162</v>
      </c>
      <c r="Y21" s="38" t="n">
        <f aca="false">'Custos Variáveis'!Y21+Premissas!$C$43</f>
        <v>168</v>
      </c>
      <c r="Z21" s="38" t="n">
        <f aca="false">'Custos Variáveis'!Z21+Premissas!$C$43</f>
        <v>174</v>
      </c>
      <c r="AA21" s="38" t="n">
        <f aca="false">'Custos Variáveis'!AA21+Premissas!$C$43</f>
        <v>180</v>
      </c>
      <c r="AB21" s="46" t="n">
        <f aca="false">SUM(C21:O21)</f>
        <v>966</v>
      </c>
      <c r="AC21" s="46" t="n">
        <f aca="false">SUM(P21:AA21)</f>
        <v>1764</v>
      </c>
      <c r="AD21" s="46" t="n">
        <f aca="false">SUM(C21:AA21)</f>
        <v>2730</v>
      </c>
    </row>
    <row r="22" customFormat="false" ht="15" hidden="false" customHeight="false" outlineLevel="0" collapsed="false">
      <c r="B22" s="56" t="s">
        <v>536</v>
      </c>
      <c r="C22" s="65" t="n">
        <f aca="false">SUM(C14:C21)</f>
        <v>11340</v>
      </c>
      <c r="D22" s="65" t="n">
        <f aca="false">SUM(D14:D21)</f>
        <v>3010</v>
      </c>
      <c r="E22" s="65" t="n">
        <f aca="false">SUM(E14:E21)</f>
        <v>3010</v>
      </c>
      <c r="F22" s="65" t="n">
        <f aca="false">SUM(F14:F21)</f>
        <v>3010</v>
      </c>
      <c r="G22" s="65" t="n">
        <f aca="false">SUM(G14:G21)</f>
        <v>4919</v>
      </c>
      <c r="H22" s="65" t="n">
        <f aca="false">SUM(H14:H21)</f>
        <v>18437.5</v>
      </c>
      <c r="I22" s="65" t="n">
        <f aca="false">SUM(I14:I21)</f>
        <v>18665.5</v>
      </c>
      <c r="J22" s="65" t="n">
        <f aca="false">SUM(J14:J21)</f>
        <v>20356</v>
      </c>
      <c r="K22" s="65" t="n">
        <f aca="false">SUM(K14:K21)</f>
        <v>25387</v>
      </c>
      <c r="L22" s="65" t="n">
        <f aca="false">SUM(L14:L21)</f>
        <v>25990</v>
      </c>
      <c r="M22" s="65" t="n">
        <f aca="false">SUM(M14:M21)</f>
        <v>33596</v>
      </c>
      <c r="N22" s="65" t="n">
        <f aca="false">SUM(N14:N21)</f>
        <v>42024.5</v>
      </c>
      <c r="O22" s="65" t="n">
        <f aca="false">SUM(O14:O21)</f>
        <v>46011.8461538462</v>
      </c>
      <c r="P22" s="65" t="n">
        <f aca="false">SUM(P14:P21)</f>
        <v>50014</v>
      </c>
      <c r="Q22" s="65" t="n">
        <f aca="false">SUM(Q14:Q21)</f>
        <v>54021.8292682927</v>
      </c>
      <c r="R22" s="65" t="n">
        <f aca="false">SUM(R14:R21)</f>
        <v>58256</v>
      </c>
      <c r="S22" s="65" t="n">
        <f aca="false">SUM(S14:S21)</f>
        <v>62672</v>
      </c>
      <c r="T22" s="65" t="n">
        <f aca="false">SUM(T14:T21)</f>
        <v>67047.8591549296</v>
      </c>
      <c r="U22" s="65" t="n">
        <f aca="false">SUM(U14:U21)</f>
        <v>71341.3926380368</v>
      </c>
      <c r="V22" s="65" t="n">
        <f aca="false">SUM(V14:V21)</f>
        <v>77997.8260869565</v>
      </c>
      <c r="W22" s="65" t="n">
        <f aca="false">SUM(W14:W21)</f>
        <v>84840.7087378641</v>
      </c>
      <c r="X22" s="65" t="n">
        <f aca="false">SUM(X14:X21)</f>
        <v>89072.480349345</v>
      </c>
      <c r="Y22" s="65" t="n">
        <f aca="false">SUM(Y14:Y21)</f>
        <v>93589.4285714286</v>
      </c>
      <c r="Z22" s="65" t="n">
        <f aca="false">SUM(Z14:Z21)</f>
        <v>98374</v>
      </c>
      <c r="AA22" s="65" t="n">
        <f aca="false">SUM(AA14:AA21)</f>
        <v>103114</v>
      </c>
      <c r="AB22" s="65" t="n">
        <f aca="false">SUM(C22:O22)</f>
        <v>255757.346153846</v>
      </c>
      <c r="AC22" s="65" t="n">
        <f aca="false">SUM(P22:AA22)</f>
        <v>910341.524806853</v>
      </c>
      <c r="AD22" s="65" t="n">
        <f aca="false">SUM(C22:AA22)</f>
        <v>1166098.8709607</v>
      </c>
    </row>
    <row r="23" customFormat="false" ht="15" hidden="false" customHeight="false" outlineLevel="0" collapsed="false">
      <c r="B23" s="56" t="s">
        <v>537</v>
      </c>
      <c r="C23" s="65" t="n">
        <f aca="false">C12-C22</f>
        <v>14500</v>
      </c>
      <c r="D23" s="65" t="n">
        <f aca="false">D12-D22</f>
        <v>-2894</v>
      </c>
      <c r="E23" s="65" t="n">
        <f aca="false">E12-E22</f>
        <v>-2917.152</v>
      </c>
      <c r="F23" s="65" t="n">
        <f aca="false">F12-F22</f>
        <v>-2940.489216</v>
      </c>
      <c r="G23" s="65" t="n">
        <f aca="false">G12-G22</f>
        <v>-4873.013129728</v>
      </c>
      <c r="H23" s="65" t="n">
        <f aca="false">H12-H22</f>
        <v>3844.50276523418</v>
      </c>
      <c r="I23" s="65" t="n">
        <f aca="false">I12-I22</f>
        <v>18497.258787356</v>
      </c>
      <c r="J23" s="65" t="n">
        <f aca="false">J12-J22</f>
        <v>24379.7368576549</v>
      </c>
      <c r="K23" s="65" t="n">
        <f aca="false">K12-K22</f>
        <v>26968.7747525161</v>
      </c>
      <c r="L23" s="65" t="n">
        <f aca="false">L12-L22</f>
        <v>41431.5249505363</v>
      </c>
      <c r="M23" s="65" t="n">
        <f aca="false">M12-M22</f>
        <v>41581.9771501406</v>
      </c>
      <c r="N23" s="65" t="n">
        <f aca="false">N12-N22</f>
        <v>48336.1329673417</v>
      </c>
      <c r="O23" s="65" t="n">
        <f aca="false">O12-O22</f>
        <v>59585.4758772343</v>
      </c>
      <c r="P23" s="65" t="n">
        <f aca="false">P12-P22</f>
        <v>70910.0058380983</v>
      </c>
      <c r="Q23" s="65" t="n">
        <f aca="false">Q12-Q22</f>
        <v>82319.4566165104</v>
      </c>
      <c r="R23" s="65" t="n">
        <f aca="false">R12-R22</f>
        <v>93593.8415377352</v>
      </c>
      <c r="S23" s="65" t="n">
        <f aca="false">S12-S22</f>
        <v>104776.592270037</v>
      </c>
      <c r="T23" s="65" t="n">
        <f aca="false">T12-T22</f>
        <v>116088.945853268</v>
      </c>
      <c r="U23" s="65" t="n">
        <f aca="false">U12-U22</f>
        <v>127574.123936987</v>
      </c>
      <c r="V23" s="65" t="n">
        <f aca="false">V12-V22</f>
        <v>136788.283479563</v>
      </c>
      <c r="W23" s="65" t="n">
        <f aca="false">W12-W22</f>
        <v>145889.707096492</v>
      </c>
      <c r="X23" s="65" t="n">
        <f aca="false">X12-X22</f>
        <v>157675.053141783</v>
      </c>
      <c r="Y23" s="65" t="n">
        <f aca="false">Y12-Y22</f>
        <v>169269.505344833</v>
      </c>
      <c r="Z23" s="65" t="n">
        <f aca="false">Z12-Z22</f>
        <v>180689.089959021</v>
      </c>
      <c r="AA23" s="65" t="n">
        <f aca="false">AA12-AA22</f>
        <v>192244.602678693</v>
      </c>
      <c r="AB23" s="65" t="n">
        <f aca="false">SUM(C23:O23)</f>
        <v>265500.729762286</v>
      </c>
      <c r="AC23" s="65" t="n">
        <f aca="false">SUM(P23:AA23)</f>
        <v>1577819.20775302</v>
      </c>
      <c r="AD23" s="65" t="n">
        <f aca="false">SUM(C23:AA23)</f>
        <v>1843319.93751531</v>
      </c>
    </row>
    <row r="24" customFormat="false" ht="15" hidden="false" customHeight="false" outlineLevel="0" collapsed="false">
      <c r="B24" s="62" t="s">
        <v>538</v>
      </c>
      <c r="C24" s="64" t="n">
        <f aca="false">C7+C23</f>
        <v>14500</v>
      </c>
      <c r="D24" s="64" t="n">
        <f aca="false">D7+D23</f>
        <v>11606</v>
      </c>
      <c r="E24" s="64" t="n">
        <f aca="false">E7+E23</f>
        <v>8688.848</v>
      </c>
      <c r="F24" s="64" t="n">
        <f aca="false">F7+F23</f>
        <v>5748.358784</v>
      </c>
      <c r="G24" s="64" t="n">
        <f aca="false">G7+G23</f>
        <v>875.345654272</v>
      </c>
      <c r="H24" s="64" t="n">
        <f aca="false">H7+H23</f>
        <v>4719.84841950618</v>
      </c>
      <c r="I24" s="64" t="n">
        <f aca="false">I7+I23</f>
        <v>23217.1072068622</v>
      </c>
      <c r="J24" s="64" t="n">
        <f aca="false">J7+J23</f>
        <v>47596.8440645171</v>
      </c>
      <c r="K24" s="64" t="n">
        <f aca="false">K7+K23</f>
        <v>74565.6188170333</v>
      </c>
      <c r="L24" s="64" t="n">
        <f aca="false">L7+L23</f>
        <v>115997.14376757</v>
      </c>
      <c r="M24" s="64" t="n">
        <f aca="false">M7+M23</f>
        <v>157579.12091771</v>
      </c>
      <c r="N24" s="64" t="n">
        <f aca="false">N7+N23</f>
        <v>205915.253885052</v>
      </c>
      <c r="O24" s="64" t="n">
        <f aca="false">O7+O23</f>
        <v>265500.729762286</v>
      </c>
      <c r="P24" s="64" t="n">
        <f aca="false">P7+P23</f>
        <v>336410.735600384</v>
      </c>
      <c r="Q24" s="64" t="n">
        <f aca="false">Q7+Q23</f>
        <v>418730.192216895</v>
      </c>
      <c r="R24" s="64" t="n">
        <f aca="false">R7+R23</f>
        <v>512324.03375463</v>
      </c>
      <c r="S24" s="64" t="n">
        <f aca="false">S7+S23</f>
        <v>617100.626024667</v>
      </c>
      <c r="T24" s="64" t="n">
        <f aca="false">T7+T23</f>
        <v>733189.571877935</v>
      </c>
      <c r="U24" s="64" t="n">
        <f aca="false">U7+U23</f>
        <v>860763.695814921</v>
      </c>
      <c r="V24" s="64" t="n">
        <f aca="false">V7+V23</f>
        <v>997551.979294484</v>
      </c>
      <c r="W24" s="64" t="n">
        <f aca="false">W7+W23</f>
        <v>1143441.68639098</v>
      </c>
      <c r="X24" s="64" t="n">
        <f aca="false">X7+X23</f>
        <v>1301116.73953276</v>
      </c>
      <c r="Y24" s="64" t="n">
        <f aca="false">Y7+Y23</f>
        <v>1470386.24487759</v>
      </c>
      <c r="Z24" s="64" t="n">
        <f aca="false">Z7+Z23</f>
        <v>1651075.33483661</v>
      </c>
      <c r="AA24" s="64" t="n">
        <f aca="false">AA7+AA23</f>
        <v>1843319.93751531</v>
      </c>
      <c r="AB24" s="65" t="n">
        <f aca="false">O24</f>
        <v>265500.729762286</v>
      </c>
      <c r="AC24" s="65" t="n">
        <f aca="false">AA24</f>
        <v>1843319.93751531</v>
      </c>
      <c r="AD24" s="65" t="n">
        <f aca="false">AA24</f>
        <v>1843319.93751531</v>
      </c>
    </row>
    <row r="26" customFormat="false" ht="15" hidden="false" customHeight="false" outlineLevel="0" collapsed="false">
      <c r="B26" s="5" t="s">
        <v>539</v>
      </c>
      <c r="C26" s="67" t="str">
        <f aca="false">IF(MIN(C24:AA24)&lt;0,"SIM — aumentar o aporte","NÃO — o investimento inicial cobre a operação")</f>
        <v>NÃO — o investimento inicial cobre a operação</v>
      </c>
    </row>
    <row r="27" customFormat="false" ht="15" hidden="false" customHeight="false" outlineLevel="0" collapsed="false">
      <c r="B27" s="25" t="s">
        <v>540</v>
      </c>
      <c r="D27" s="83" t="n">
        <f aca="false">IF(D24&gt;=C9,1,999)</f>
        <v>999</v>
      </c>
      <c r="E27" s="83" t="n">
        <f aca="false">IF(E24&gt;=C9,2,999)</f>
        <v>999</v>
      </c>
      <c r="F27" s="83" t="n">
        <f aca="false">IF(F24&gt;=C9,3,999)</f>
        <v>999</v>
      </c>
      <c r="G27" s="83" t="n">
        <f aca="false">IF(G24&gt;=C9,4,999)</f>
        <v>999</v>
      </c>
      <c r="H27" s="83" t="n">
        <f aca="false">IF(H24&gt;=C9,5,999)</f>
        <v>999</v>
      </c>
      <c r="I27" s="83" t="n">
        <f aca="false">IF(I24&gt;=C9,6,999)</f>
        <v>999</v>
      </c>
      <c r="J27" s="83" t="n">
        <f aca="false">IF(J24&gt;=C9,7,999)</f>
        <v>7</v>
      </c>
      <c r="K27" s="83" t="n">
        <f aca="false">IF(K24&gt;=C9,8,999)</f>
        <v>8</v>
      </c>
      <c r="L27" s="83" t="n">
        <f aca="false">IF(L24&gt;=C9,9,999)</f>
        <v>9</v>
      </c>
      <c r="M27" s="83" t="n">
        <f aca="false">IF(M24&gt;=C9,10,999)</f>
        <v>10</v>
      </c>
      <c r="N27" s="83" t="n">
        <f aca="false">IF(N24&gt;=C9,11,999)</f>
        <v>11</v>
      </c>
      <c r="O27" s="83" t="n">
        <f aca="false">IF(O24&gt;=C9,12,999)</f>
        <v>12</v>
      </c>
      <c r="P27" s="83" t="n">
        <f aca="false">IF(P24&gt;=C9,13,999)</f>
        <v>13</v>
      </c>
      <c r="Q27" s="83" t="n">
        <f aca="false">IF(Q24&gt;=C9,14,999)</f>
        <v>14</v>
      </c>
      <c r="R27" s="83" t="n">
        <f aca="false">IF(R24&gt;=C9,15,999)</f>
        <v>15</v>
      </c>
      <c r="S27" s="83" t="n">
        <f aca="false">IF(S24&gt;=C9,16,999)</f>
        <v>16</v>
      </c>
      <c r="T27" s="83" t="n">
        <f aca="false">IF(T24&gt;=C9,17,999)</f>
        <v>17</v>
      </c>
      <c r="U27" s="83" t="n">
        <f aca="false">IF(U24&gt;=C9,18,999)</f>
        <v>18</v>
      </c>
      <c r="V27" s="83" t="n">
        <f aca="false">IF(V24&gt;=C9,19,999)</f>
        <v>19</v>
      </c>
      <c r="W27" s="83" t="n">
        <f aca="false">IF(W24&gt;=C9,20,999)</f>
        <v>20</v>
      </c>
      <c r="X27" s="83" t="n">
        <f aca="false">IF(X24&gt;=C9,21,999)</f>
        <v>21</v>
      </c>
      <c r="Y27" s="83" t="n">
        <f aca="false">IF(Y24&gt;=C9,22,999)</f>
        <v>22</v>
      </c>
      <c r="Z27" s="83" t="n">
        <f aca="false">IF(Z24&gt;=C9,23,999)</f>
        <v>23</v>
      </c>
      <c r="AA27" s="83" t="n">
        <f aca="false">IF(AA24&gt;=C9,24,999)</f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B4FD8"/>
    <pageSetUpPr fitToPage="true"/>
  </sheetPr>
  <dimension ref="B2:AD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2"/>
    <col collapsed="false" customWidth="true" hidden="false" outlineLevel="0" max="27" min="3" style="0" width="11.5"/>
    <col collapsed="false" customWidth="true" hidden="false" outlineLevel="0" max="30" min="28" style="0" width="13.5"/>
  </cols>
  <sheetData>
    <row r="2" customFormat="false" ht="21.75" hidden="false" customHeight="true" outlineLevel="0" collapsed="false">
      <c r="B2" s="1" t="s">
        <v>541</v>
      </c>
    </row>
    <row r="3" customFormat="false" ht="15" hidden="false" customHeight="false" outlineLevel="0" collapsed="false">
      <c r="B3" s="2" t="s">
        <v>542</v>
      </c>
    </row>
    <row r="5" customFormat="false" ht="18" hidden="false" customHeight="true" outlineLevel="0" collapsed="false">
      <c r="B5" s="4" t="s">
        <v>316</v>
      </c>
      <c r="C5" s="30" t="s">
        <v>523</v>
      </c>
      <c r="D5" s="30" t="s">
        <v>273</v>
      </c>
      <c r="E5" s="30" t="s">
        <v>274</v>
      </c>
      <c r="F5" s="30" t="s">
        <v>275</v>
      </c>
      <c r="G5" s="30" t="s">
        <v>276</v>
      </c>
      <c r="H5" s="30" t="s">
        <v>277</v>
      </c>
      <c r="I5" s="30" t="s">
        <v>278</v>
      </c>
      <c r="J5" s="30" t="s">
        <v>279</v>
      </c>
      <c r="K5" s="30" t="s">
        <v>280</v>
      </c>
      <c r="L5" s="30" t="s">
        <v>281</v>
      </c>
      <c r="M5" s="30" t="s">
        <v>282</v>
      </c>
      <c r="N5" s="30" t="s">
        <v>283</v>
      </c>
      <c r="O5" s="30" t="s">
        <v>284</v>
      </c>
      <c r="P5" s="30" t="s">
        <v>285</v>
      </c>
      <c r="Q5" s="30" t="s">
        <v>286</v>
      </c>
      <c r="R5" s="30" t="s">
        <v>287</v>
      </c>
      <c r="S5" s="30" t="s">
        <v>288</v>
      </c>
      <c r="T5" s="30" t="s">
        <v>289</v>
      </c>
      <c r="U5" s="30" t="s">
        <v>290</v>
      </c>
      <c r="V5" s="30" t="s">
        <v>291</v>
      </c>
      <c r="W5" s="30" t="s">
        <v>292</v>
      </c>
      <c r="X5" s="30" t="s">
        <v>293</v>
      </c>
      <c r="Y5" s="30" t="s">
        <v>294</v>
      </c>
      <c r="Z5" s="30" t="s">
        <v>295</v>
      </c>
      <c r="AA5" s="30" t="s">
        <v>296</v>
      </c>
      <c r="AB5" s="51" t="s">
        <v>297</v>
      </c>
      <c r="AC5" s="51" t="s">
        <v>298</v>
      </c>
      <c r="AD5" s="51" t="s">
        <v>299</v>
      </c>
    </row>
    <row r="6" customFormat="false" ht="15" hidden="false" customHeight="false" outlineLevel="0" collapsed="false">
      <c r="B6" s="25" t="s">
        <v>300</v>
      </c>
      <c r="C6" s="52" t="n">
        <v>0</v>
      </c>
      <c r="D6" s="52" t="n">
        <v>1</v>
      </c>
      <c r="E6" s="52" t="n">
        <v>2</v>
      </c>
      <c r="F6" s="52" t="n">
        <v>3</v>
      </c>
      <c r="G6" s="52" t="n">
        <v>4</v>
      </c>
      <c r="H6" s="52" t="n">
        <v>5</v>
      </c>
      <c r="I6" s="52" t="n">
        <v>6</v>
      </c>
      <c r="J6" s="52" t="n">
        <v>7</v>
      </c>
      <c r="K6" s="52" t="n">
        <v>8</v>
      </c>
      <c r="L6" s="52" t="n">
        <v>9</v>
      </c>
      <c r="M6" s="52" t="n">
        <v>10</v>
      </c>
      <c r="N6" s="52" t="n">
        <v>11</v>
      </c>
      <c r="O6" s="52" t="n">
        <v>12</v>
      </c>
      <c r="P6" s="52" t="n">
        <v>13</v>
      </c>
      <c r="Q6" s="52" t="n">
        <v>14</v>
      </c>
      <c r="R6" s="52" t="n">
        <v>15</v>
      </c>
      <c r="S6" s="52" t="n">
        <v>16</v>
      </c>
      <c r="T6" s="52" t="n">
        <v>17</v>
      </c>
      <c r="U6" s="52" t="n">
        <v>18</v>
      </c>
      <c r="V6" s="52" t="n">
        <v>19</v>
      </c>
      <c r="W6" s="52" t="n">
        <v>20</v>
      </c>
      <c r="X6" s="52" t="n">
        <v>21</v>
      </c>
      <c r="Y6" s="52" t="n">
        <v>22</v>
      </c>
      <c r="Z6" s="52" t="n">
        <v>23</v>
      </c>
      <c r="AA6" s="52" t="n">
        <v>24</v>
      </c>
    </row>
    <row r="7" customFormat="false" ht="15" hidden="false" customHeight="false" outlineLevel="0" collapsed="false">
      <c r="B7" s="6" t="s">
        <v>543</v>
      </c>
      <c r="C7" s="13" t="n">
        <v>0</v>
      </c>
      <c r="D7" s="13" t="n">
        <f aca="false">'DRE Mensal'!D23</f>
        <v>-8235.66666666667</v>
      </c>
      <c r="E7" s="13" t="n">
        <f aca="false">'DRE Mensal'!E23</f>
        <v>-3018.81866666667</v>
      </c>
      <c r="F7" s="13" t="n">
        <f aca="false">'DRE Mensal'!F23</f>
        <v>-3042.15588266667</v>
      </c>
      <c r="G7" s="13" t="n">
        <f aca="false">'DRE Mensal'!G23</f>
        <v>10087.8202036053</v>
      </c>
      <c r="H7" s="13" t="n">
        <f aca="false">'DRE Mensal'!H23</f>
        <v>15517.8360985675</v>
      </c>
      <c r="I7" s="13" t="n">
        <f aca="false">'DRE Mensal'!I23</f>
        <v>24283.0921206894</v>
      </c>
      <c r="J7" s="13" t="n">
        <f aca="false">'DRE Mensal'!J23</f>
        <v>29978.0701909882</v>
      </c>
      <c r="K7" s="13" t="n">
        <f aca="false">'DRE Mensal'!K23</f>
        <v>38267.1080858495</v>
      </c>
      <c r="L7" s="13" t="n">
        <f aca="false">'DRE Mensal'!L23</f>
        <v>46904.8582838696</v>
      </c>
      <c r="M7" s="13" t="n">
        <f aca="false">'DRE Mensal'!M23</f>
        <v>48207.8104834739</v>
      </c>
      <c r="N7" s="13" t="n">
        <f aca="false">'DRE Mensal'!N23</f>
        <v>59403.1201468289</v>
      </c>
      <c r="O7" s="13" t="n">
        <f aca="false">'DRE Mensal'!O23</f>
        <v>70637.6553644138</v>
      </c>
      <c r="P7" s="13" t="n">
        <f aca="false">'DRE Mensal'!P23</f>
        <v>81956.5099031389</v>
      </c>
      <c r="Q7" s="13" t="n">
        <f aca="false">'DRE Mensal'!Q23</f>
        <v>93139.6192181364</v>
      </c>
      <c r="R7" s="13" t="n">
        <f aca="false">'DRE Mensal'!R23</f>
        <v>104232.174871068</v>
      </c>
      <c r="S7" s="13" t="n">
        <f aca="false">'DRE Mensal'!S23</f>
        <v>115455.066448441</v>
      </c>
      <c r="T7" s="13" t="n">
        <f aca="false">'DRE Mensal'!T23</f>
        <v>126849.745703494</v>
      </c>
      <c r="U7" s="13" t="n">
        <f aca="false">'DRE Mensal'!U23</f>
        <v>138372.0238214</v>
      </c>
      <c r="V7" s="13" t="n">
        <f aca="false">'DRE Mensal'!V23</f>
        <v>144999.734161989</v>
      </c>
      <c r="W7" s="13" t="n">
        <f aca="false">'DRE Mensal'!W23</f>
        <v>156712.268818344</v>
      </c>
      <c r="X7" s="13" t="n">
        <f aca="false">'DRE Mensal'!X23</f>
        <v>168212.438253033</v>
      </c>
      <c r="Y7" s="13" t="n">
        <f aca="false">'DRE Mensal'!Y23</f>
        <v>179539.267249595</v>
      </c>
      <c r="Z7" s="13" t="n">
        <f aca="false">'DRE Mensal'!Z23</f>
        <v>191003.423292354</v>
      </c>
      <c r="AA7" s="13" t="n">
        <f aca="false">'DRE Mensal'!AA23</f>
        <v>202593.602678693</v>
      </c>
      <c r="AB7" s="46" t="n">
        <f aca="false">SUM(C7:O7)</f>
        <v>328990.729762286</v>
      </c>
      <c r="AC7" s="46" t="n">
        <f aca="false">SUM(P7:AA7)</f>
        <v>1703065.87441969</v>
      </c>
      <c r="AD7" s="46" t="n">
        <f aca="false">SUM(C7:AA7)</f>
        <v>2032056.60418197</v>
      </c>
    </row>
    <row r="8" customFormat="false" ht="15" hidden="false" customHeight="false" outlineLevel="0" collapsed="false">
      <c r="B8" s="6" t="s">
        <v>544</v>
      </c>
      <c r="C8" s="38" t="n">
        <f aca="false">'Fluxo de Caixa'!C23-'Fluxo de Caixa'!C9</f>
        <v>-11340</v>
      </c>
      <c r="D8" s="38" t="n">
        <f aca="false">'Fluxo de Caixa'!D23-'Fluxo de Caixa'!D9</f>
        <v>-2894</v>
      </c>
      <c r="E8" s="38" t="n">
        <f aca="false">'Fluxo de Caixa'!E23-'Fluxo de Caixa'!E9</f>
        <v>-2917.152</v>
      </c>
      <c r="F8" s="38" t="n">
        <f aca="false">'Fluxo de Caixa'!F23-'Fluxo de Caixa'!F9</f>
        <v>-2940.489216</v>
      </c>
      <c r="G8" s="38" t="n">
        <f aca="false">'Fluxo de Caixa'!G23-'Fluxo de Caixa'!G9</f>
        <v>-4873.013129728</v>
      </c>
      <c r="H8" s="38" t="n">
        <f aca="false">'Fluxo de Caixa'!H23-'Fluxo de Caixa'!H9</f>
        <v>3844.50276523418</v>
      </c>
      <c r="I8" s="38" t="n">
        <f aca="false">'Fluxo de Caixa'!I23-'Fluxo de Caixa'!I9</f>
        <v>18497.258787356</v>
      </c>
      <c r="J8" s="38" t="n">
        <f aca="false">'Fluxo de Caixa'!J23-'Fluxo de Caixa'!J9</f>
        <v>24379.7368576549</v>
      </c>
      <c r="K8" s="38" t="n">
        <f aca="false">'Fluxo de Caixa'!K23-'Fluxo de Caixa'!K9</f>
        <v>26968.7747525161</v>
      </c>
      <c r="L8" s="38" t="n">
        <f aca="false">'Fluxo de Caixa'!L23-'Fluxo de Caixa'!L9</f>
        <v>41431.5249505363</v>
      </c>
      <c r="M8" s="38" t="n">
        <f aca="false">'Fluxo de Caixa'!M23-'Fluxo de Caixa'!M9</f>
        <v>41581.9771501406</v>
      </c>
      <c r="N8" s="38" t="n">
        <f aca="false">'Fluxo de Caixa'!N23-'Fluxo de Caixa'!N9</f>
        <v>48336.1329673417</v>
      </c>
      <c r="O8" s="38" t="n">
        <f aca="false">'Fluxo de Caixa'!O23-'Fluxo de Caixa'!O9</f>
        <v>59585.4758772343</v>
      </c>
      <c r="P8" s="38" t="n">
        <f aca="false">'Fluxo de Caixa'!P23-'Fluxo de Caixa'!P9</f>
        <v>70910.0058380983</v>
      </c>
      <c r="Q8" s="38" t="n">
        <f aca="false">'Fluxo de Caixa'!Q23-'Fluxo de Caixa'!Q9</f>
        <v>82319.4566165104</v>
      </c>
      <c r="R8" s="38" t="n">
        <f aca="false">'Fluxo de Caixa'!R23-'Fluxo de Caixa'!R9</f>
        <v>93593.8415377352</v>
      </c>
      <c r="S8" s="38" t="n">
        <f aca="false">'Fluxo de Caixa'!S23-'Fluxo de Caixa'!S9</f>
        <v>104776.592270037</v>
      </c>
      <c r="T8" s="38" t="n">
        <f aca="false">'Fluxo de Caixa'!T23-'Fluxo de Caixa'!T9</f>
        <v>116088.945853268</v>
      </c>
      <c r="U8" s="38" t="n">
        <f aca="false">'Fluxo de Caixa'!U23-'Fluxo de Caixa'!U9</f>
        <v>127574.123936987</v>
      </c>
      <c r="V8" s="38" t="n">
        <f aca="false">'Fluxo de Caixa'!V23-'Fluxo de Caixa'!V9</f>
        <v>136788.283479563</v>
      </c>
      <c r="W8" s="38" t="n">
        <f aca="false">'Fluxo de Caixa'!W23-'Fluxo de Caixa'!W9</f>
        <v>145889.707096492</v>
      </c>
      <c r="X8" s="38" t="n">
        <f aca="false">'Fluxo de Caixa'!X23-'Fluxo de Caixa'!X9</f>
        <v>157675.053141783</v>
      </c>
      <c r="Y8" s="38" t="n">
        <f aca="false">'Fluxo de Caixa'!Y23-'Fluxo de Caixa'!Y9</f>
        <v>169269.505344833</v>
      </c>
      <c r="Z8" s="38" t="n">
        <f aca="false">'Fluxo de Caixa'!Z23-'Fluxo de Caixa'!Z9</f>
        <v>180689.089959021</v>
      </c>
      <c r="AA8" s="38" t="n">
        <f aca="false">'Fluxo de Caixa'!AA23-'Fluxo de Caixa'!AA9</f>
        <v>192244.602678693</v>
      </c>
      <c r="AB8" s="46" t="n">
        <f aca="false">SUM(C8:O8)</f>
        <v>239660.729762286</v>
      </c>
      <c r="AC8" s="46" t="n">
        <f aca="false">SUM(P8:AA8)</f>
        <v>1577819.20775302</v>
      </c>
      <c r="AD8" s="46" t="n">
        <f aca="false">SUM(C8:AA8)</f>
        <v>1817479.93751531</v>
      </c>
    </row>
    <row r="9" customFormat="false" ht="15" hidden="false" customHeight="false" outlineLevel="0" collapsed="false">
      <c r="B9" s="56" t="s">
        <v>545</v>
      </c>
      <c r="C9" s="65" t="n">
        <f aca="false">C8-C7</f>
        <v>-11340</v>
      </c>
      <c r="D9" s="65" t="n">
        <f aca="false">D8-D7</f>
        <v>5341.66666666667</v>
      </c>
      <c r="E9" s="65" t="n">
        <f aca="false">E8-E7</f>
        <v>101.666666666667</v>
      </c>
      <c r="F9" s="65" t="n">
        <f aca="false">F8-F7</f>
        <v>101.666666666667</v>
      </c>
      <c r="G9" s="65" t="n">
        <f aca="false">G8-G7</f>
        <v>-14960.8333333333</v>
      </c>
      <c r="H9" s="65" t="n">
        <f aca="false">H8-H7</f>
        <v>-11673.3333333333</v>
      </c>
      <c r="I9" s="65" t="n">
        <f aca="false">I8-I7</f>
        <v>-5785.83333333334</v>
      </c>
      <c r="J9" s="65" t="n">
        <f aca="false">J8-J7</f>
        <v>-5598.33333333334</v>
      </c>
      <c r="K9" s="65" t="n">
        <f aca="false">K8-K7</f>
        <v>-11298.3333333333</v>
      </c>
      <c r="L9" s="65" t="n">
        <f aca="false">L8-L7</f>
        <v>-5473.33333333334</v>
      </c>
      <c r="M9" s="65" t="n">
        <f aca="false">M8-M7</f>
        <v>-6625.83333333332</v>
      </c>
      <c r="N9" s="65" t="n">
        <f aca="false">N8-N7</f>
        <v>-11066.9871794872</v>
      </c>
      <c r="O9" s="65" t="n">
        <f aca="false">O8-O7</f>
        <v>-11052.1794871795</v>
      </c>
      <c r="P9" s="65" t="n">
        <f aca="false">P8-P7</f>
        <v>-11046.5040650406</v>
      </c>
      <c r="Q9" s="65" t="n">
        <f aca="false">Q8-Q7</f>
        <v>-10820.162601626</v>
      </c>
      <c r="R9" s="65" t="n">
        <f aca="false">R8-R7</f>
        <v>-10638.3333333333</v>
      </c>
      <c r="S9" s="65" t="n">
        <f aca="false">S8-S7</f>
        <v>-10678.4741784037</v>
      </c>
      <c r="T9" s="65" t="n">
        <f aca="false">T8-T7</f>
        <v>-10760.7998502261</v>
      </c>
      <c r="U9" s="65" t="n">
        <f aca="false">U8-U7</f>
        <v>-10797.8998844136</v>
      </c>
      <c r="V9" s="65" t="n">
        <f aca="false">V8-V7</f>
        <v>-8211.45068242578</v>
      </c>
      <c r="W9" s="65" t="n">
        <f aca="false">W8-W7</f>
        <v>-10822.5617218524</v>
      </c>
      <c r="X9" s="65" t="n">
        <f aca="false">X8-X7</f>
        <v>-10537.3851112498</v>
      </c>
      <c r="Y9" s="65" t="n">
        <f aca="false">Y8-Y7</f>
        <v>-10269.7619047619</v>
      </c>
      <c r="Z9" s="65" t="n">
        <f aca="false">Z8-Z7</f>
        <v>-10314.3333333333</v>
      </c>
      <c r="AA9" s="65" t="n">
        <f aca="false">AA8-AA7</f>
        <v>-10349</v>
      </c>
      <c r="AB9" s="65" t="n">
        <f aca="false">SUM(C9:O9)</f>
        <v>-89330</v>
      </c>
      <c r="AC9" s="65" t="n">
        <f aca="false">SUM(P9:AA9)</f>
        <v>-125246.666666667</v>
      </c>
      <c r="AD9" s="65" t="n">
        <f aca="false">SUM(C9:AA9)</f>
        <v>-214576.666666667</v>
      </c>
    </row>
    <row r="11" customFormat="false" ht="15" hidden="false" customHeight="false" outlineLevel="0" collapsed="false">
      <c r="B11" s="6" t="s">
        <v>546</v>
      </c>
      <c r="C11" s="38" t="n">
        <f aca="false">C7</f>
        <v>0</v>
      </c>
      <c r="D11" s="38" t="n">
        <f aca="false">C11+D7</f>
        <v>-8235.66666666667</v>
      </c>
      <c r="E11" s="38" t="n">
        <f aca="false">D11+E7</f>
        <v>-11254.4853333333</v>
      </c>
      <c r="F11" s="38" t="n">
        <f aca="false">E11+F7</f>
        <v>-14296.641216</v>
      </c>
      <c r="G11" s="38" t="n">
        <f aca="false">F11+G7</f>
        <v>-4208.82101239467</v>
      </c>
      <c r="H11" s="38" t="n">
        <f aca="false">G11+H7</f>
        <v>11309.0150861728</v>
      </c>
      <c r="I11" s="38" t="n">
        <f aca="false">H11+I7</f>
        <v>35592.1072068622</v>
      </c>
      <c r="J11" s="38" t="n">
        <f aca="false">I11+J7</f>
        <v>65570.1773978505</v>
      </c>
      <c r="K11" s="38" t="n">
        <f aca="false">J11+K7</f>
        <v>103837.2854837</v>
      </c>
      <c r="L11" s="38" t="n">
        <f aca="false">K11+L7</f>
        <v>150742.14376757</v>
      </c>
      <c r="M11" s="38" t="n">
        <f aca="false">L11+M7</f>
        <v>198949.954251043</v>
      </c>
      <c r="N11" s="38" t="n">
        <f aca="false">M11+N7</f>
        <v>258353.074397872</v>
      </c>
      <c r="O11" s="38" t="n">
        <f aca="false">N11+O7</f>
        <v>328990.729762286</v>
      </c>
      <c r="P11" s="38" t="n">
        <f aca="false">O11+P7</f>
        <v>410947.239665425</v>
      </c>
      <c r="Q11" s="38" t="n">
        <f aca="false">P11+Q7</f>
        <v>504086.858883561</v>
      </c>
      <c r="R11" s="38" t="n">
        <f aca="false">Q11+R7</f>
        <v>608319.03375463</v>
      </c>
      <c r="S11" s="38" t="n">
        <f aca="false">R11+S7</f>
        <v>723774.100203071</v>
      </c>
      <c r="T11" s="38" t="n">
        <f aca="false">S11+T7</f>
        <v>850623.845906564</v>
      </c>
      <c r="U11" s="38" t="n">
        <f aca="false">T11+U7</f>
        <v>988995.869727965</v>
      </c>
      <c r="V11" s="38" t="n">
        <f aca="false">U11+V7</f>
        <v>1133995.60388995</v>
      </c>
      <c r="W11" s="38" t="n">
        <f aca="false">V11+W7</f>
        <v>1290707.8727083</v>
      </c>
      <c r="X11" s="38" t="n">
        <f aca="false">W11+X7</f>
        <v>1458920.31096133</v>
      </c>
      <c r="Y11" s="38" t="n">
        <f aca="false">X11+Y7</f>
        <v>1638459.57821093</v>
      </c>
      <c r="Z11" s="38" t="n">
        <f aca="false">Y11+Z7</f>
        <v>1829463.00150328</v>
      </c>
      <c r="AA11" s="38" t="n">
        <f aca="false">Z11+AA7</f>
        <v>2032056.60418197</v>
      </c>
      <c r="AB11" s="46" t="n">
        <f aca="false">O11</f>
        <v>328990.729762286</v>
      </c>
      <c r="AC11" s="46" t="n">
        <f aca="false">AA11</f>
        <v>2032056.60418197</v>
      </c>
      <c r="AD11" s="46" t="n">
        <f aca="false">AA11</f>
        <v>2032056.60418197</v>
      </c>
    </row>
    <row r="12" customFormat="false" ht="15" hidden="false" customHeight="false" outlineLevel="0" collapsed="false">
      <c r="B12" s="6" t="s">
        <v>547</v>
      </c>
      <c r="C12" s="38" t="n">
        <f aca="false">C8</f>
        <v>-11340</v>
      </c>
      <c r="D12" s="38" t="n">
        <f aca="false">C12+D8</f>
        <v>-14234</v>
      </c>
      <c r="E12" s="38" t="n">
        <f aca="false">D12+E8</f>
        <v>-17151.152</v>
      </c>
      <c r="F12" s="38" t="n">
        <f aca="false">E12+F8</f>
        <v>-20091.641216</v>
      </c>
      <c r="G12" s="38" t="n">
        <f aca="false">F12+G8</f>
        <v>-24964.654345728</v>
      </c>
      <c r="H12" s="38" t="n">
        <f aca="false">G12+H8</f>
        <v>-21120.1515804938</v>
      </c>
      <c r="I12" s="38" t="n">
        <f aca="false">H12+I8</f>
        <v>-2622.89279313778</v>
      </c>
      <c r="J12" s="38" t="n">
        <f aca="false">I12+J8</f>
        <v>21756.8440645171</v>
      </c>
      <c r="K12" s="38" t="n">
        <f aca="false">J12+K8</f>
        <v>48725.6188170333</v>
      </c>
      <c r="L12" s="38" t="n">
        <f aca="false">K12+L8</f>
        <v>90157.1437675695</v>
      </c>
      <c r="M12" s="38" t="n">
        <f aca="false">L12+M8</f>
        <v>131739.12091771</v>
      </c>
      <c r="N12" s="38" t="n">
        <f aca="false">M12+N8</f>
        <v>180075.253885052</v>
      </c>
      <c r="O12" s="38" t="n">
        <f aca="false">N12+O8</f>
        <v>239660.729762286</v>
      </c>
      <c r="P12" s="38" t="n">
        <f aca="false">O12+P8</f>
        <v>310570.735600384</v>
      </c>
      <c r="Q12" s="38" t="n">
        <f aca="false">P12+Q8</f>
        <v>392890.192216895</v>
      </c>
      <c r="R12" s="38" t="n">
        <f aca="false">Q12+R8</f>
        <v>486484.03375463</v>
      </c>
      <c r="S12" s="38" t="n">
        <f aca="false">R12+S8</f>
        <v>591260.626024667</v>
      </c>
      <c r="T12" s="38" t="n">
        <f aca="false">S12+T8</f>
        <v>707349.571877935</v>
      </c>
      <c r="U12" s="38" t="n">
        <f aca="false">T12+U8</f>
        <v>834923.695814921</v>
      </c>
      <c r="V12" s="38" t="n">
        <f aca="false">U12+V8</f>
        <v>971711.979294484</v>
      </c>
      <c r="W12" s="38" t="n">
        <f aca="false">V12+W8</f>
        <v>1117601.68639098</v>
      </c>
      <c r="X12" s="38" t="n">
        <f aca="false">W12+X8</f>
        <v>1275276.73953276</v>
      </c>
      <c r="Y12" s="38" t="n">
        <f aca="false">X12+Y8</f>
        <v>1444546.24487759</v>
      </c>
      <c r="Z12" s="38" t="n">
        <f aca="false">Y12+Z8</f>
        <v>1625235.33483661</v>
      </c>
      <c r="AA12" s="38" t="n">
        <f aca="false">Z12+AA8</f>
        <v>1817479.93751531</v>
      </c>
      <c r="AB12" s="46" t="n">
        <f aca="false">O12</f>
        <v>239660.729762286</v>
      </c>
      <c r="AC12" s="46" t="n">
        <f aca="false">AA12</f>
        <v>1817479.93751531</v>
      </c>
      <c r="AD12" s="46" t="n">
        <f aca="false">AA12</f>
        <v>1817479.93751531</v>
      </c>
    </row>
    <row r="14" customFormat="false" ht="15" hidden="false" customHeight="false" outlineLevel="0" collapsed="false">
      <c r="B14" s="8" t="s">
        <v>548</v>
      </c>
    </row>
    <row r="15" customFormat="false" ht="15" hidden="false" customHeight="false" outlineLevel="0" collapsed="false">
      <c r="B15" s="91" t="s">
        <v>549</v>
      </c>
      <c r="C15" s="91"/>
      <c r="D15" s="91"/>
      <c r="E15" s="91"/>
      <c r="F15" s="91"/>
      <c r="G15" s="91"/>
      <c r="H15" s="91"/>
      <c r="I15" s="91"/>
      <c r="J15" s="91"/>
      <c r="K15" s="91"/>
      <c r="L15" s="91"/>
      <c r="M15" s="91"/>
      <c r="N15" s="91"/>
      <c r="O15" s="91"/>
      <c r="P15" s="91"/>
    </row>
    <row r="16" customFormat="false" ht="15" hidden="false" customHeight="false" outlineLevel="0" collapsed="false">
      <c r="B16" s="91" t="s">
        <v>550</v>
      </c>
      <c r="C16" s="91"/>
      <c r="D16" s="91"/>
      <c r="E16" s="91"/>
      <c r="F16" s="91"/>
      <c r="G16" s="91"/>
      <c r="H16" s="91"/>
      <c r="I16" s="91"/>
      <c r="J16" s="91"/>
      <c r="K16" s="91"/>
      <c r="L16" s="91"/>
      <c r="M16" s="91"/>
      <c r="N16" s="91"/>
      <c r="O16" s="91"/>
      <c r="P16" s="91"/>
    </row>
    <row r="17" customFormat="false" ht="15" hidden="false" customHeight="false" outlineLevel="0" collapsed="false">
      <c r="B17" s="91" t="s">
        <v>551</v>
      </c>
      <c r="C17" s="91"/>
      <c r="D17" s="91"/>
      <c r="E17" s="91"/>
      <c r="F17" s="91"/>
      <c r="G17" s="91"/>
      <c r="H17" s="91"/>
      <c r="I17" s="91"/>
      <c r="J17" s="91"/>
      <c r="K17" s="91"/>
      <c r="L17" s="91"/>
      <c r="M17" s="91"/>
      <c r="N17" s="91"/>
      <c r="O17" s="91"/>
      <c r="P17" s="91"/>
    </row>
    <row r="18" customFormat="false" ht="15" hidden="false" customHeight="false" outlineLevel="0" collapsed="false">
      <c r="B18" s="91" t="s">
        <v>552</v>
      </c>
      <c r="C18" s="91"/>
      <c r="D18" s="91"/>
      <c r="E18" s="91"/>
      <c r="F18" s="91"/>
      <c r="G18" s="91"/>
      <c r="H18" s="91"/>
      <c r="I18" s="91"/>
      <c r="J18" s="91"/>
      <c r="K18" s="91"/>
      <c r="L18" s="91"/>
      <c r="M18" s="91"/>
      <c r="N18" s="91"/>
      <c r="O18" s="91"/>
      <c r="P18" s="91"/>
    </row>
    <row r="19" customFormat="false" ht="15" hidden="false" customHeight="false" outlineLevel="0" collapsed="false">
      <c r="B19" s="91" t="s">
        <v>553</v>
      </c>
      <c r="C19" s="91"/>
      <c r="D19" s="91"/>
      <c r="E19" s="91"/>
      <c r="F19" s="91"/>
      <c r="G19" s="91"/>
      <c r="H19" s="91"/>
      <c r="I19" s="91"/>
      <c r="J19" s="91"/>
      <c r="K19" s="91"/>
      <c r="L19" s="91"/>
      <c r="M19" s="91"/>
      <c r="N19" s="91"/>
      <c r="O19" s="91"/>
      <c r="P19" s="91"/>
    </row>
  </sheetData>
  <mergeCells count="5">
    <mergeCell ref="B15:P15"/>
    <mergeCell ref="B16:P16"/>
    <mergeCell ref="B17:P17"/>
    <mergeCell ref="B18:P18"/>
    <mergeCell ref="B19:P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B4FD8"/>
    <pageSetUpPr fitToPage="true"/>
  </sheetPr>
  <dimension ref="B2:F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6"/>
    <col collapsed="false" customWidth="true" hidden="false" outlineLevel="0" max="5" min="3" style="0" width="16"/>
    <col collapsed="false" customWidth="true" hidden="false" outlineLevel="0" max="6" min="6" style="0" width="70"/>
  </cols>
  <sheetData>
    <row r="2" customFormat="false" ht="21.75" hidden="false" customHeight="true" outlineLevel="0" collapsed="false">
      <c r="B2" s="1" t="s">
        <v>554</v>
      </c>
    </row>
    <row r="3" customFormat="false" ht="15" hidden="false" customHeight="false" outlineLevel="0" collapsed="false">
      <c r="B3" s="2" t="s">
        <v>555</v>
      </c>
    </row>
    <row r="5" customFormat="false" ht="15" hidden="false" customHeight="false" outlineLevel="0" collapsed="false">
      <c r="B5" s="30" t="s">
        <v>556</v>
      </c>
      <c r="C5" s="30" t="s">
        <v>297</v>
      </c>
      <c r="D5" s="30" t="s">
        <v>298</v>
      </c>
      <c r="E5" s="30" t="s">
        <v>557</v>
      </c>
      <c r="F5" s="30" t="s">
        <v>558</v>
      </c>
    </row>
    <row r="6" customFormat="false" ht="15" hidden="false" customHeight="false" outlineLevel="0" collapsed="false">
      <c r="B6" s="27" t="s">
        <v>559</v>
      </c>
      <c r="C6" s="28"/>
      <c r="D6" s="28"/>
      <c r="E6" s="28"/>
      <c r="F6" s="28"/>
    </row>
    <row r="7" customFormat="false" ht="15" hidden="false" customHeight="false" outlineLevel="0" collapsed="false">
      <c r="B7" s="6" t="s">
        <v>560</v>
      </c>
      <c r="C7" s="38" t="n">
        <f aca="false">'Investimento Inicial'!$C$31</f>
        <v>25840</v>
      </c>
      <c r="F7" s="14" t="s">
        <v>561</v>
      </c>
    </row>
    <row r="8" customFormat="false" ht="15" hidden="false" customHeight="false" outlineLevel="0" collapsed="false">
      <c r="B8" s="6" t="s">
        <v>517</v>
      </c>
      <c r="C8" s="38" t="n">
        <f aca="false">'DRE Anual'!C6</f>
        <v>615000</v>
      </c>
      <c r="D8" s="38" t="n">
        <f aca="false">'DRE Anual'!E6</f>
        <v>2610000</v>
      </c>
      <c r="E8" s="38" t="n">
        <f aca="false">'DRE Anual'!G6</f>
        <v>3225000</v>
      </c>
      <c r="F8" s="14" t="s">
        <v>562</v>
      </c>
    </row>
    <row r="9" customFormat="false" ht="15" hidden="false" customHeight="false" outlineLevel="0" collapsed="false">
      <c r="B9" s="5" t="s">
        <v>563</v>
      </c>
      <c r="C9" s="49" t="n">
        <f aca="false">'DRE Anual'!C21</f>
        <v>328990.729762286</v>
      </c>
      <c r="D9" s="49" t="n">
        <f aca="false">'DRE Anual'!E21</f>
        <v>1703065.87441969</v>
      </c>
      <c r="E9" s="49" t="n">
        <f aca="false">'DRE Anual'!G21</f>
        <v>2032056.60418197</v>
      </c>
      <c r="F9" s="14" t="s">
        <v>562</v>
      </c>
    </row>
    <row r="10" customFormat="false" ht="22.35" hidden="false" customHeight="false" outlineLevel="0" collapsed="false">
      <c r="B10" s="5" t="s">
        <v>564</v>
      </c>
      <c r="C10" s="92" t="n">
        <f aca="false">C9/$C$7</f>
        <v>12.7318393870854</v>
      </c>
      <c r="D10" s="92" t="n">
        <f aca="false">D9/$C$7</f>
        <v>65.9081220750653</v>
      </c>
      <c r="E10" s="92" t="n">
        <f aca="false">E9/$C$7</f>
        <v>78.6399614621506</v>
      </c>
      <c r="F10" s="14" t="s">
        <v>565</v>
      </c>
    </row>
    <row r="11" customFormat="false" ht="15" hidden="false" customHeight="false" outlineLevel="0" collapsed="false">
      <c r="B11" s="6" t="s">
        <v>566</v>
      </c>
      <c r="C11" s="33" t="n">
        <f aca="false">IF(C8&gt;0,C9/C8,0)</f>
        <v>0.534944276036238</v>
      </c>
      <c r="D11" s="33" t="n">
        <f aca="false">IF(D8&gt;0,D9/D8,0)</f>
        <v>0.652515660697198</v>
      </c>
      <c r="E11" s="33" t="n">
        <f aca="false">IF(E8&gt;0,E9/E8,0)</f>
        <v>0.630095071064178</v>
      </c>
      <c r="F11" s="14" t="s">
        <v>567</v>
      </c>
    </row>
    <row r="12" customFormat="false" ht="15" hidden="false" customHeight="false" outlineLevel="0" collapsed="false">
      <c r="B12" s="5" t="s">
        <v>568</v>
      </c>
      <c r="C12" s="93" t="n">
        <f aca="false">IF(MIN('Fluxo de Caixa'!D27:AA27)&gt;24,"após o M24",MIN('Fluxo de Caixa'!D27:AA27))</f>
        <v>7</v>
      </c>
      <c r="F12" s="14" t="s">
        <v>569</v>
      </c>
    </row>
    <row r="13" customFormat="false" ht="15" hidden="false" customHeight="false" outlineLevel="0" collapsed="false">
      <c r="B13" s="27" t="s">
        <v>570</v>
      </c>
      <c r="C13" s="28"/>
      <c r="D13" s="28"/>
      <c r="E13" s="28"/>
      <c r="F13" s="28"/>
    </row>
    <row r="14" customFormat="false" ht="15" hidden="false" customHeight="false" outlineLevel="0" collapsed="false">
      <c r="B14" s="6" t="s">
        <v>571</v>
      </c>
      <c r="C14" s="38" t="n">
        <f aca="false">'DRE Anual'!C12</f>
        <v>461302.653846154</v>
      </c>
      <c r="D14" s="38" t="n">
        <f aca="false">'DRE Anual'!E12</f>
        <v>1892545.14185981</v>
      </c>
      <c r="E14" s="38" t="n">
        <f aca="false">'DRE Anual'!G12</f>
        <v>2353847.79570597</v>
      </c>
      <c r="F14" s="14" t="s">
        <v>572</v>
      </c>
    </row>
    <row r="15" customFormat="false" ht="15" hidden="false" customHeight="false" outlineLevel="0" collapsed="false">
      <c r="B15" s="6" t="s">
        <v>573</v>
      </c>
      <c r="C15" s="33" t="n">
        <f aca="false">IF(C8&gt;0,C14/C8,0)</f>
        <v>0.750085616010006</v>
      </c>
      <c r="D15" s="33" t="n">
        <f aca="false">IF(D8&gt;0,D14/D8,0)</f>
        <v>0.725113081172342</v>
      </c>
      <c r="E15" s="33" t="n">
        <f aca="false">IF(E8&gt;0,E14/E8,0)</f>
        <v>0.729875285490222</v>
      </c>
      <c r="F15" s="14" t="s">
        <v>574</v>
      </c>
    </row>
    <row r="16" customFormat="false" ht="15" hidden="false" customHeight="false" outlineLevel="0" collapsed="false">
      <c r="B16" s="6" t="s">
        <v>575</v>
      </c>
      <c r="C16" s="38" t="n">
        <f aca="false">'DRE Anual'!C13</f>
        <v>131720</v>
      </c>
      <c r="D16" s="38" t="n">
        <f aca="false">'DRE Anual'!E13</f>
        <v>271220</v>
      </c>
      <c r="E16" s="38" t="n">
        <f aca="false">'DRE Anual'!G13</f>
        <v>402940</v>
      </c>
      <c r="F16" s="14" t="s">
        <v>576</v>
      </c>
    </row>
    <row r="17" customFormat="false" ht="15" hidden="false" customHeight="false" outlineLevel="0" collapsed="false">
      <c r="B17" s="5" t="s">
        <v>577</v>
      </c>
      <c r="C17" s="49" t="n">
        <f aca="false">IF(C15&gt;0,C16/C15,0)</f>
        <v>175606.620349113</v>
      </c>
      <c r="D17" s="49" t="n">
        <f aca="false">IF(D15&gt;0,D16/D15,0)</f>
        <v>374038.211476614</v>
      </c>
      <c r="E17" s="49" t="n">
        <f aca="false">IF(E15&gt;0,E16/E15,0)</f>
        <v>552066.918842668</v>
      </c>
      <c r="F17" s="14" t="s">
        <v>578</v>
      </c>
    </row>
    <row r="18" customFormat="false" ht="15" hidden="false" customHeight="false" outlineLevel="0" collapsed="false">
      <c r="B18" s="6" t="s">
        <v>579</v>
      </c>
      <c r="C18" s="54" t="n">
        <f aca="false">IF(C15&gt;0,C17/12/Premissas!$C$17,0)</f>
        <v>1.9511846705457</v>
      </c>
      <c r="D18" s="54" t="n">
        <f aca="false">IF(D15&gt;0,D17/12/Premissas!$C$17,0)</f>
        <v>4.15598012751794</v>
      </c>
      <c r="F18" s="14" t="s">
        <v>580</v>
      </c>
    </row>
    <row r="19" customFormat="false" ht="15" hidden="false" customHeight="false" outlineLevel="0" collapsed="false">
      <c r="B19" s="6" t="s">
        <v>581</v>
      </c>
      <c r="C19" s="33" t="n">
        <f aca="false">IF(C8&gt;0,(C8-C17)/C8,0)</f>
        <v>0.714460779920141</v>
      </c>
      <c r="D19" s="33" t="n">
        <f aca="false">IF(D8&gt;0,(D8-D17)/D8,0)</f>
        <v>0.856690340430416</v>
      </c>
      <c r="E19" s="33" t="n">
        <f aca="false">IF(E8&gt;0,(E8-E17)/E8,0)</f>
        <v>0.828816459273591</v>
      </c>
      <c r="F19" s="14" t="s">
        <v>582</v>
      </c>
    </row>
    <row r="20" customFormat="false" ht="15" hidden="false" customHeight="false" outlineLevel="0" collapsed="false">
      <c r="B20" s="5" t="s">
        <v>583</v>
      </c>
      <c r="C20" s="93" t="n">
        <f aca="false">IF(MIN('DRE Mensal'!D26:AA26)&gt;24,"após o M24",MIN('DRE Mensal'!D26:AA26))</f>
        <v>4</v>
      </c>
      <c r="F20" s="14" t="s">
        <v>584</v>
      </c>
    </row>
    <row r="21" customFormat="false" ht="15" hidden="false" customHeight="false" outlineLevel="0" collapsed="false">
      <c r="B21" s="27" t="s">
        <v>585</v>
      </c>
      <c r="C21" s="28"/>
      <c r="D21" s="28"/>
      <c r="E21" s="28"/>
      <c r="F21" s="28"/>
    </row>
    <row r="22" customFormat="false" ht="15" hidden="false" customHeight="false" outlineLevel="0" collapsed="false">
      <c r="B22" s="6" t="s">
        <v>586</v>
      </c>
      <c r="C22" s="38" t="n">
        <f aca="false">MIN('Fluxo de Caixa'!C24:AA24)</f>
        <v>875.345654272</v>
      </c>
      <c r="F22" s="14" t="s">
        <v>587</v>
      </c>
    </row>
    <row r="23" customFormat="false" ht="15" hidden="false" customHeight="false" outlineLevel="0" collapsed="false">
      <c r="B23" s="6" t="s">
        <v>588</v>
      </c>
      <c r="C23" s="38" t="n">
        <f aca="false">'Fluxo de Caixa'!O24</f>
        <v>265500.729762286</v>
      </c>
      <c r="D23" s="38" t="n">
        <f aca="false">'Fluxo de Caixa'!AA24</f>
        <v>1843319.93751531</v>
      </c>
      <c r="E23" s="38" t="n">
        <f aca="false">'Fluxo de Caixa'!AA24</f>
        <v>1843319.93751531</v>
      </c>
      <c r="F23" s="14" t="s">
        <v>589</v>
      </c>
    </row>
    <row r="24" customFormat="false" ht="15" hidden="false" customHeight="false" outlineLevel="0" collapsed="false">
      <c r="B24" s="27" t="s">
        <v>590</v>
      </c>
      <c r="C24" s="28"/>
      <c r="D24" s="28"/>
      <c r="E24" s="28"/>
      <c r="F24" s="28"/>
    </row>
    <row r="25" customFormat="false" ht="15" hidden="false" customHeight="false" outlineLevel="0" collapsed="false">
      <c r="B25" s="6" t="s">
        <v>128</v>
      </c>
      <c r="C25" s="38" t="n">
        <f aca="false">Premissas!$C$17</f>
        <v>7500</v>
      </c>
      <c r="F25" s="14" t="s">
        <v>591</v>
      </c>
    </row>
    <row r="26" customFormat="false" ht="15" hidden="false" customHeight="false" outlineLevel="0" collapsed="false">
      <c r="B26" s="6" t="s">
        <v>592</v>
      </c>
      <c r="C26" s="38" t="n">
        <f aca="false">Premissas!$C$36</f>
        <v>3000</v>
      </c>
      <c r="F26" s="14" t="s">
        <v>427</v>
      </c>
    </row>
    <row r="27" customFormat="false" ht="15" hidden="false" customHeight="false" outlineLevel="0" collapsed="false">
      <c r="B27" s="6" t="s">
        <v>396</v>
      </c>
      <c r="C27" s="38" t="n">
        <f aca="false">C25*D15</f>
        <v>5438.34810879257</v>
      </c>
      <c r="F27" s="14" t="s">
        <v>593</v>
      </c>
    </row>
    <row r="28" customFormat="false" ht="15" hidden="false" customHeight="false" outlineLevel="0" collapsed="false">
      <c r="B28" s="6" t="s">
        <v>594</v>
      </c>
      <c r="C28" s="38" t="n">
        <f aca="false">C27*Premissas!$C$58</f>
        <v>195780.531916532</v>
      </c>
      <c r="F28" s="14" t="s">
        <v>595</v>
      </c>
    </row>
    <row r="29" customFormat="false" ht="15" hidden="false" customHeight="false" outlineLevel="0" collapsed="false">
      <c r="B29" s="5" t="s">
        <v>596</v>
      </c>
      <c r="C29" s="94" t="n">
        <f aca="false">C28/C26</f>
        <v>65.2601773055108</v>
      </c>
      <c r="F29" s="14" t="s">
        <v>597</v>
      </c>
    </row>
    <row r="30" customFormat="false" ht="15" hidden="false" customHeight="false" outlineLevel="0" collapsed="false">
      <c r="B30" s="6" t="s">
        <v>598</v>
      </c>
      <c r="C30" s="95" t="n">
        <f aca="false">C26/C27</f>
        <v>0.551638096713538</v>
      </c>
      <c r="F30" s="14" t="s">
        <v>599</v>
      </c>
    </row>
    <row r="32" customFormat="false" ht="15" hidden="false" customHeight="false" outlineLevel="0" collapsed="false">
      <c r="B32" s="27" t="s">
        <v>600</v>
      </c>
      <c r="C32" s="28"/>
      <c r="D32" s="28"/>
      <c r="E32" s="28"/>
      <c r="F32" s="28"/>
    </row>
    <row r="33" customFormat="false" ht="15" hidden="false" customHeight="false" outlineLevel="0" collapsed="false">
      <c r="B33" s="30" t="s">
        <v>601</v>
      </c>
      <c r="C33" s="30" t="s">
        <v>517</v>
      </c>
      <c r="D33" s="30" t="s">
        <v>602</v>
      </c>
      <c r="E33" s="30" t="s">
        <v>603</v>
      </c>
    </row>
    <row r="34" customFormat="false" ht="15" hidden="false" customHeight="false" outlineLevel="0" collapsed="false">
      <c r="B34" s="96" t="n">
        <v>0</v>
      </c>
      <c r="C34" s="38" t="n">
        <f aca="false">B34*Premissas!$C$17</f>
        <v>0</v>
      </c>
      <c r="D34" s="38" t="n">
        <f aca="false">'DRE Anual'!E13/12+C34*(1-D15)</f>
        <v>22601.6666666667</v>
      </c>
      <c r="E34" s="38" t="n">
        <f aca="false">'DRE Anual'!E13/12</f>
        <v>22601.6666666667</v>
      </c>
    </row>
    <row r="35" customFormat="false" ht="15" hidden="false" customHeight="false" outlineLevel="0" collapsed="false">
      <c r="B35" s="96" t="n">
        <v>4</v>
      </c>
      <c r="C35" s="38" t="n">
        <f aca="false">B35*Premissas!$C$17</f>
        <v>30000</v>
      </c>
      <c r="D35" s="38" t="n">
        <f aca="false">'DRE Anual'!E13/12+C35*(1-D15)</f>
        <v>30848.2742314964</v>
      </c>
      <c r="E35" s="38" t="n">
        <f aca="false">'DRE Anual'!E13/12</f>
        <v>22601.6666666667</v>
      </c>
    </row>
    <row r="36" customFormat="false" ht="15" hidden="false" customHeight="false" outlineLevel="0" collapsed="false">
      <c r="B36" s="96" t="n">
        <v>8</v>
      </c>
      <c r="C36" s="38" t="n">
        <f aca="false">B36*Premissas!$C$17</f>
        <v>60000</v>
      </c>
      <c r="D36" s="38" t="n">
        <f aca="false">'DRE Anual'!E13/12+C36*(1-D15)</f>
        <v>39094.8817963261</v>
      </c>
      <c r="E36" s="38" t="n">
        <f aca="false">'DRE Anual'!E13/12</f>
        <v>22601.6666666667</v>
      </c>
    </row>
    <row r="37" customFormat="false" ht="15" hidden="false" customHeight="false" outlineLevel="0" collapsed="false">
      <c r="B37" s="96" t="n">
        <v>12</v>
      </c>
      <c r="C37" s="38" t="n">
        <f aca="false">B37*Premissas!$C$17</f>
        <v>90000</v>
      </c>
      <c r="D37" s="38" t="n">
        <f aca="false">'DRE Anual'!E13/12+C37*(1-D15)</f>
        <v>47341.4893611559</v>
      </c>
      <c r="E37" s="38" t="n">
        <f aca="false">'DRE Anual'!E13/12</f>
        <v>22601.6666666667</v>
      </c>
    </row>
    <row r="38" customFormat="false" ht="15" hidden="false" customHeight="false" outlineLevel="0" collapsed="false">
      <c r="B38" s="96" t="n">
        <v>16</v>
      </c>
      <c r="C38" s="38" t="n">
        <f aca="false">B38*Premissas!$C$17</f>
        <v>120000</v>
      </c>
      <c r="D38" s="38" t="n">
        <f aca="false">'DRE Anual'!E13/12+C38*(1-D15)</f>
        <v>55588.0969259856</v>
      </c>
      <c r="E38" s="38" t="n">
        <f aca="false">'DRE Anual'!E13/12</f>
        <v>22601.6666666667</v>
      </c>
    </row>
    <row r="39" customFormat="false" ht="15" hidden="false" customHeight="false" outlineLevel="0" collapsed="false">
      <c r="B39" s="96" t="n">
        <v>20</v>
      </c>
      <c r="C39" s="38" t="n">
        <f aca="false">B39*Premissas!$C$17</f>
        <v>150000</v>
      </c>
      <c r="D39" s="38" t="n">
        <f aca="false">'DRE Anual'!E13/12+C39*(1-D15)</f>
        <v>63834.7044908153</v>
      </c>
      <c r="E39" s="38" t="n">
        <f aca="false">'DRE Anual'!E13/12</f>
        <v>22601.6666666667</v>
      </c>
    </row>
    <row r="40" customFormat="false" ht="15" hidden="false" customHeight="false" outlineLevel="0" collapsed="false">
      <c r="B40" s="96" t="n">
        <v>24</v>
      </c>
      <c r="C40" s="38" t="n">
        <f aca="false">B40*Premissas!$C$17</f>
        <v>180000</v>
      </c>
      <c r="D40" s="38" t="n">
        <f aca="false">'DRE Anual'!E13/12+C40*(1-D15)</f>
        <v>72081.312055645</v>
      </c>
      <c r="E40" s="38" t="n">
        <f aca="false">'DRE Anual'!E13/12</f>
        <v>22601.6666666667</v>
      </c>
    </row>
    <row r="41" customFormat="false" ht="15" hidden="false" customHeight="false" outlineLevel="0" collapsed="false">
      <c r="B41" s="96" t="n">
        <v>28</v>
      </c>
      <c r="C41" s="38" t="n">
        <f aca="false">B41*Premissas!$C$17</f>
        <v>210000</v>
      </c>
      <c r="D41" s="38" t="n">
        <f aca="false">'DRE Anual'!E13/12+C41*(1-D15)</f>
        <v>80327.9196204748</v>
      </c>
      <c r="E41" s="38" t="n">
        <f aca="false">'DRE Anual'!E13/12</f>
        <v>22601.6666666667</v>
      </c>
    </row>
    <row r="42" customFormat="false" ht="15" hidden="false" customHeight="false" outlineLevel="0" collapsed="false">
      <c r="B42" s="96" t="n">
        <v>32</v>
      </c>
      <c r="C42" s="38" t="n">
        <f aca="false">B42*Premissas!$C$17</f>
        <v>240000</v>
      </c>
      <c r="D42" s="38" t="n">
        <f aca="false">'DRE Anual'!E13/12+C42*(1-D15)</f>
        <v>88574.5271853045</v>
      </c>
      <c r="E42" s="38" t="n">
        <f aca="false">'DRE Anual'!E13/12</f>
        <v>22601.6666666667</v>
      </c>
    </row>
    <row r="43" customFormat="false" ht="15" hidden="false" customHeight="false" outlineLevel="0" collapsed="false">
      <c r="B43" s="96" t="n">
        <v>36</v>
      </c>
      <c r="C43" s="38" t="n">
        <f aca="false">B43*Premissas!$C$17</f>
        <v>270000</v>
      </c>
      <c r="D43" s="38" t="n">
        <f aca="false">'DRE Anual'!E13/12+C43*(1-D15)</f>
        <v>96821.1347501342</v>
      </c>
      <c r="E43" s="38" t="n">
        <f aca="false">'DRE Anual'!E13/12</f>
        <v>22601.6666666667</v>
      </c>
    </row>
    <row r="44" customFormat="false" ht="15" hidden="false" customHeight="false" outlineLevel="0" collapsed="false">
      <c r="B44" s="96" t="n">
        <v>40</v>
      </c>
      <c r="C44" s="38" t="n">
        <f aca="false">B44*Premissas!$C$17</f>
        <v>300000</v>
      </c>
      <c r="D44" s="38" t="n">
        <f aca="false">'DRE Anual'!E13/12+C44*(1-D15)</f>
        <v>105067.742314964</v>
      </c>
      <c r="E44" s="38" t="n">
        <f aca="false">'DRE Anual'!E13/12</f>
        <v>22601.6666666667</v>
      </c>
    </row>
    <row r="45" customFormat="false" ht="15" hidden="false" customHeight="false" outlineLevel="0" collapsed="false">
      <c r="B45" s="5" t="s">
        <v>604</v>
      </c>
      <c r="C45" s="97" t="n">
        <f aca="false">'DRE Anual'!E13/12/(Premissas!$C$17*D15)</f>
        <v>4.15598012751794</v>
      </c>
    </row>
    <row r="47" customFormat="false" ht="15" hidden="false" customHeight="false" outlineLevel="0" collapsed="false">
      <c r="B47" s="27" t="s">
        <v>605</v>
      </c>
      <c r="C47" s="28"/>
      <c r="D47" s="28"/>
      <c r="E47" s="28"/>
      <c r="F47" s="28"/>
    </row>
    <row r="48" customFormat="false" ht="30" hidden="false" customHeight="true" outlineLevel="0" collapsed="false">
      <c r="B48" s="30" t="s">
        <v>606</v>
      </c>
      <c r="C48" s="30" t="s">
        <v>607</v>
      </c>
      <c r="D48" s="30" t="s">
        <v>608</v>
      </c>
      <c r="E48" s="30" t="s">
        <v>609</v>
      </c>
    </row>
    <row r="49" customFormat="false" ht="15" hidden="false" customHeight="false" outlineLevel="0" collapsed="false">
      <c r="B49" s="6" t="s">
        <v>338</v>
      </c>
      <c r="C49" s="13" t="n">
        <f aca="false">'Custos Fixos'!C30+'Custos Fixos'!C33</f>
        <v>2601.66666666667</v>
      </c>
      <c r="D49" s="54" t="n">
        <f aca="false">C49/(Premissas!$C$17*$E$15)</f>
        <v>0.475271454980011</v>
      </c>
      <c r="E49" s="61" t="n">
        <f aca="false">INDEX('Receita e Clientes'!D11:AA11,Premissas!$C$30)</f>
        <v>0</v>
      </c>
    </row>
    <row r="50" customFormat="false" ht="15" hidden="false" customHeight="false" outlineLevel="0" collapsed="false">
      <c r="B50" s="6" t="s">
        <v>339</v>
      </c>
      <c r="C50" s="13" t="n">
        <f aca="false">'Custos Fixos'!D30+'Custos Fixos'!D33</f>
        <v>7101.66666666667</v>
      </c>
      <c r="D50" s="54" t="n">
        <f aca="false">C50/(Premissas!$C$17*$E$15)</f>
        <v>1.29732970510559</v>
      </c>
      <c r="E50" s="61" t="n">
        <f aca="false">INDEX('Receita e Clientes'!D11:AA11,Premissas!$C$31)</f>
        <v>10</v>
      </c>
    </row>
    <row r="51" customFormat="false" ht="15" hidden="false" customHeight="false" outlineLevel="0" collapsed="false">
      <c r="B51" s="6" t="s">
        <v>340</v>
      </c>
      <c r="C51" s="13" t="n">
        <f aca="false">'Custos Fixos'!E30+'Custos Fixos'!E33</f>
        <v>14101.6666666667</v>
      </c>
      <c r="D51" s="54" t="n">
        <f aca="false">C51/(Premissas!$C$17*$E$15)</f>
        <v>2.57608698307871</v>
      </c>
      <c r="E51" s="61" t="n">
        <f aca="false">INDEX('Receita e Clientes'!D11:AA11,Premissas!$C$32)</f>
        <v>28</v>
      </c>
    </row>
    <row r="52" customFormat="false" ht="15" hidden="false" customHeight="false" outlineLevel="0" collapsed="false">
      <c r="B52" s="6" t="s">
        <v>341</v>
      </c>
      <c r="C52" s="13" t="n">
        <f aca="false">'Custos Fixos'!F30+'Custos Fixos'!F33</f>
        <v>19101.6666666667</v>
      </c>
      <c r="D52" s="54" t="n">
        <f aca="false">C52/(Premissas!$C$17*$E$15)</f>
        <v>3.4894850387738</v>
      </c>
      <c r="E52" s="61" t="n">
        <f aca="false">INDEX('Receita e Clientes'!D11:AA11,24)</f>
        <v>40</v>
      </c>
    </row>
    <row r="53" customFormat="false" ht="15" hidden="false" customHeight="false" outlineLevel="0" collapsed="false">
      <c r="B53" s="25" t="s">
        <v>610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B6E0"/>
    <pageSetUpPr fitToPage="true"/>
  </sheetPr>
  <dimension ref="B2:G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0"/>
    <col collapsed="false" customWidth="true" hidden="false" outlineLevel="0" max="6" min="3" style="0" width="16"/>
    <col collapsed="false" customWidth="true" hidden="false" outlineLevel="0" max="7" min="7" style="0" width="50"/>
  </cols>
  <sheetData>
    <row r="2" customFormat="false" ht="21.75" hidden="false" customHeight="true" outlineLevel="0" collapsed="false">
      <c r="B2" s="1" t="s">
        <v>611</v>
      </c>
    </row>
    <row r="3" customFormat="false" ht="15" hidden="false" customHeight="false" outlineLevel="0" collapsed="false">
      <c r="B3" s="2" t="s">
        <v>612</v>
      </c>
    </row>
    <row r="5" customFormat="false" ht="15" hidden="false" customHeight="false" outlineLevel="0" collapsed="false">
      <c r="B5" s="30" t="s">
        <v>613</v>
      </c>
      <c r="C5" s="30" t="s">
        <v>106</v>
      </c>
      <c r="D5" s="30" t="s">
        <v>107</v>
      </c>
      <c r="E5" s="30" t="s">
        <v>108</v>
      </c>
      <c r="F5" s="30" t="s">
        <v>614</v>
      </c>
      <c r="G5" s="30" t="s">
        <v>615</v>
      </c>
    </row>
    <row r="6" customFormat="false" ht="15" hidden="false" customHeight="true" outlineLevel="0" collapsed="false">
      <c r="B6" s="6" t="s">
        <v>616</v>
      </c>
      <c r="C6" s="98" t="n">
        <v>21.3919371922478</v>
      </c>
      <c r="D6" s="98" t="n">
        <v>40</v>
      </c>
      <c r="E6" s="98" t="n">
        <v>51.1</v>
      </c>
      <c r="F6" s="99" t="n">
        <f aca="false">'Receita e Clientes'!AA11</f>
        <v>40</v>
      </c>
      <c r="G6" s="90" t="s">
        <v>617</v>
      </c>
    </row>
    <row r="7" customFormat="false" ht="15" hidden="false" customHeight="false" outlineLevel="0" collapsed="false">
      <c r="B7" s="6" t="s">
        <v>62</v>
      </c>
      <c r="C7" s="15" t="n">
        <v>1800866.03530101</v>
      </c>
      <c r="D7" s="15" t="n">
        <v>3225000</v>
      </c>
      <c r="E7" s="15" t="n">
        <v>4050750</v>
      </c>
      <c r="F7" s="100" t="n">
        <f aca="false">Indicadores!E8</f>
        <v>3225000</v>
      </c>
      <c r="G7" s="90"/>
    </row>
    <row r="8" customFormat="false" ht="15" hidden="false" customHeight="false" outlineLevel="0" collapsed="false">
      <c r="B8" s="6" t="s">
        <v>618</v>
      </c>
      <c r="C8" s="15" t="n">
        <v>186173.906661864</v>
      </c>
      <c r="D8" s="15" t="n">
        <v>328990.729762286</v>
      </c>
      <c r="E8" s="15" t="n">
        <v>414417.38057755</v>
      </c>
      <c r="F8" s="100" t="n">
        <f aca="false">Indicadores!C9</f>
        <v>328990.729762286</v>
      </c>
      <c r="G8" s="90"/>
    </row>
    <row r="9" customFormat="false" ht="15" hidden="false" customHeight="false" outlineLevel="0" collapsed="false">
      <c r="B9" s="6" t="s">
        <v>619</v>
      </c>
      <c r="C9" s="15" t="n">
        <v>803470.501242511</v>
      </c>
      <c r="D9" s="15" t="n">
        <v>1703065.87441969</v>
      </c>
      <c r="E9" s="15" t="n">
        <v>2207244.65906648</v>
      </c>
      <c r="F9" s="100" t="n">
        <f aca="false">Indicadores!D9</f>
        <v>1703065.87441969</v>
      </c>
      <c r="G9" s="90"/>
    </row>
    <row r="10" customFormat="false" ht="15" hidden="false" customHeight="false" outlineLevel="0" collapsed="false">
      <c r="B10" s="6" t="s">
        <v>82</v>
      </c>
      <c r="C10" s="40" t="n">
        <v>0.73731307843262</v>
      </c>
      <c r="D10" s="40" t="n">
        <v>0.729875285490222</v>
      </c>
      <c r="E10" s="40" t="n">
        <v>0.725417921965601</v>
      </c>
      <c r="F10" s="101" t="n">
        <f aca="false">Indicadores!E15</f>
        <v>0.729875285490222</v>
      </c>
      <c r="G10" s="90"/>
    </row>
    <row r="11" customFormat="false" ht="15" hidden="false" customHeight="false" outlineLevel="0" collapsed="false">
      <c r="B11" s="6" t="s">
        <v>620</v>
      </c>
      <c r="C11" s="16" t="n">
        <v>4</v>
      </c>
      <c r="D11" s="16" t="n">
        <v>4</v>
      </c>
      <c r="E11" s="16" t="n">
        <v>4</v>
      </c>
      <c r="F11" s="102" t="n">
        <f aca="false">Indicadores!C20</f>
        <v>4</v>
      </c>
      <c r="G11" s="90"/>
    </row>
    <row r="12" customFormat="false" ht="15" hidden="false" customHeight="false" outlineLevel="0" collapsed="false">
      <c r="B12" s="6" t="s">
        <v>84</v>
      </c>
      <c r="C12" s="16" t="n">
        <v>7</v>
      </c>
      <c r="D12" s="16" t="n">
        <v>7</v>
      </c>
      <c r="E12" s="16" t="n">
        <v>7</v>
      </c>
      <c r="F12" s="102" t="n">
        <f aca="false">Indicadores!C12</f>
        <v>7</v>
      </c>
      <c r="G12" s="90"/>
    </row>
    <row r="13" customFormat="false" ht="15" hidden="false" customHeight="false" outlineLevel="0" collapsed="false">
      <c r="B13" s="6" t="s">
        <v>621</v>
      </c>
      <c r="C13" s="15" t="n">
        <v>875.345654272</v>
      </c>
      <c r="D13" s="15" t="n">
        <v>875.345654272</v>
      </c>
      <c r="E13" s="15" t="n">
        <v>875.345654272</v>
      </c>
      <c r="F13" s="100" t="n">
        <f aca="false">Indicadores!C22</f>
        <v>875.345654272</v>
      </c>
      <c r="G13" s="90"/>
    </row>
    <row r="14" customFormat="false" ht="15" hidden="false" customHeight="false" outlineLevel="0" collapsed="false">
      <c r="B14" s="6" t="s">
        <v>622</v>
      </c>
      <c r="C14" s="15" t="n">
        <v>911164.000468128</v>
      </c>
      <c r="D14" s="15" t="n">
        <v>1843319.93751531</v>
      </c>
      <c r="E14" s="15" t="n">
        <v>2373752.30280192</v>
      </c>
      <c r="F14" s="100" t="n">
        <f aca="false">Indicadores!D23</f>
        <v>1843319.93751531</v>
      </c>
      <c r="G14" s="90"/>
    </row>
    <row r="15" customFormat="false" ht="15" hidden="false" customHeight="false" outlineLevel="0" collapsed="false">
      <c r="B15" s="6" t="s">
        <v>596</v>
      </c>
      <c r="C15" s="103" t="n">
        <v>46.6648797872337</v>
      </c>
      <c r="D15" s="103" t="n">
        <v>65.2601773055108</v>
      </c>
      <c r="E15" s="103" t="n">
        <v>72.0435220628484</v>
      </c>
      <c r="F15" s="104" t="n">
        <f aca="false">Indicadores!C29</f>
        <v>65.2601773055108</v>
      </c>
      <c r="G15" s="90"/>
    </row>
    <row r="17" customFormat="false" ht="15" hidden="false" customHeight="false" outlineLevel="0" collapsed="false">
      <c r="B17" s="25" t="s">
        <v>623</v>
      </c>
    </row>
  </sheetData>
  <mergeCells count="1">
    <mergeCell ref="G6:G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B6E0"/>
    <pageSetUpPr fitToPage="true"/>
  </sheetPr>
  <dimension ref="B2:E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3" min="3" style="0" width="46"/>
    <col collapsed="false" customWidth="true" hidden="false" outlineLevel="0" max="4" min="4" style="0" width="70"/>
    <col collapsed="false" customWidth="true" hidden="false" outlineLevel="0" max="5" min="5" style="0" width="16"/>
  </cols>
  <sheetData>
    <row r="2" customFormat="false" ht="21.75" hidden="false" customHeight="true" outlineLevel="0" collapsed="false">
      <c r="B2" s="1" t="s">
        <v>624</v>
      </c>
    </row>
    <row r="3" customFormat="false" ht="15" hidden="false" customHeight="false" outlineLevel="0" collapsed="false">
      <c r="B3" s="2" t="s">
        <v>625</v>
      </c>
    </row>
    <row r="5" customFormat="false" ht="15" hidden="false" customHeight="false" outlineLevel="0" collapsed="false">
      <c r="B5" s="4" t="s">
        <v>626</v>
      </c>
      <c r="C5" s="4" t="s">
        <v>331</v>
      </c>
      <c r="D5" s="4" t="s">
        <v>627</v>
      </c>
      <c r="E5" s="4" t="s">
        <v>628</v>
      </c>
    </row>
    <row r="6" customFormat="false" ht="15" hidden="false" customHeight="false" outlineLevel="0" collapsed="false">
      <c r="B6" s="105" t="s">
        <v>629</v>
      </c>
      <c r="C6" s="7" t="s">
        <v>630</v>
      </c>
      <c r="D6" s="7" t="s">
        <v>631</v>
      </c>
      <c r="E6" s="7" t="s">
        <v>632</v>
      </c>
    </row>
    <row r="7" customFormat="false" ht="15" hidden="false" customHeight="false" outlineLevel="0" collapsed="false">
      <c r="B7" s="105" t="s">
        <v>633</v>
      </c>
      <c r="C7" s="7" t="s">
        <v>634</v>
      </c>
      <c r="D7" s="7" t="s">
        <v>635</v>
      </c>
      <c r="E7" s="7" t="s">
        <v>632</v>
      </c>
    </row>
    <row r="8" customFormat="false" ht="23.85" hidden="false" customHeight="false" outlineLevel="0" collapsed="false">
      <c r="B8" s="105" t="s">
        <v>636</v>
      </c>
      <c r="C8" s="7" t="s">
        <v>637</v>
      </c>
      <c r="D8" s="7" t="s">
        <v>638</v>
      </c>
      <c r="E8" s="7" t="s">
        <v>639</v>
      </c>
    </row>
    <row r="9" customFormat="false" ht="15" hidden="false" customHeight="false" outlineLevel="0" collapsed="false">
      <c r="B9" s="105" t="s">
        <v>640</v>
      </c>
      <c r="C9" s="7" t="s">
        <v>641</v>
      </c>
      <c r="D9" s="7" t="s">
        <v>642</v>
      </c>
      <c r="E9" s="7" t="s">
        <v>643</v>
      </c>
    </row>
    <row r="10" customFormat="false" ht="15" hidden="false" customHeight="false" outlineLevel="0" collapsed="false">
      <c r="B10" s="105" t="s">
        <v>644</v>
      </c>
      <c r="C10" s="7" t="s">
        <v>645</v>
      </c>
      <c r="D10" s="7" t="s">
        <v>646</v>
      </c>
      <c r="E10" s="7" t="s">
        <v>647</v>
      </c>
    </row>
    <row r="12" customFormat="false" ht="15" hidden="false" customHeight="false" outlineLevel="0" collapsed="false">
      <c r="B12" s="8" t="s">
        <v>648</v>
      </c>
    </row>
    <row r="13" customFormat="false" ht="15" hidden="false" customHeight="false" outlineLevel="0" collapsed="false">
      <c r="B13" s="91" t="s">
        <v>649</v>
      </c>
      <c r="C13" s="91"/>
      <c r="D13" s="91"/>
      <c r="E13" s="91"/>
    </row>
    <row r="14" customFormat="false" ht="15" hidden="false" customHeight="false" outlineLevel="0" collapsed="false">
      <c r="B14" s="91" t="s">
        <v>650</v>
      </c>
      <c r="C14" s="91"/>
      <c r="D14" s="91"/>
      <c r="E14" s="91"/>
    </row>
    <row r="15" customFormat="false" ht="15" hidden="false" customHeight="false" outlineLevel="0" collapsed="false">
      <c r="B15" s="91" t="s">
        <v>651</v>
      </c>
      <c r="C15" s="91"/>
      <c r="D15" s="91"/>
      <c r="E15" s="91"/>
    </row>
    <row r="16" customFormat="false" ht="15" hidden="false" customHeight="false" outlineLevel="0" collapsed="false">
      <c r="B16" s="91" t="s">
        <v>652</v>
      </c>
      <c r="C16" s="91"/>
      <c r="D16" s="91"/>
      <c r="E16" s="91"/>
    </row>
  </sheetData>
  <mergeCells count="4">
    <mergeCell ref="B13:E13"/>
    <mergeCell ref="B14:E14"/>
    <mergeCell ref="B15:E15"/>
    <mergeCell ref="B16:E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2026-10-08T23:42:08Z</dcterms:created>
  <dc:creator>openpyxl</dc:creator>
  <dc:description/>
  <dc:language>en-US</dc:language>
  <cp:lastModifiedBy/>
  <dcterms:modified xsi:type="dcterms:W3CDTF">2026-10-08T20:42:11Z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