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Premissas" sheetId="2" state="visible" r:id="rId4"/>
    <sheet name="Funil de Vendas" sheetId="3" state="visible" r:id="rId5"/>
    <sheet name="Receita e Clientes" sheetId="4" state="visible" r:id="rId6"/>
    <sheet name="Custos Mensais" sheetId="5" state="visible" r:id="rId7"/>
    <sheet name="DRE Mensal" sheetId="6" state="visible" r:id="rId8"/>
    <sheet name="Resumo Anual" sheetId="7" state="visible" r:id="rId9"/>
    <sheet name="Funil Padrão (Seção 19)" sheetId="8" state="visible" r:id="rId10"/>
    <sheet name="Comparáveis de Mercado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<sst xmlns="http://schemas.openxmlformats.org/spreadsheetml/2006/main" count="320" uniqueCount="221">
  <si>
    <t xml:space="preserve">SkillWay — Plano de Vendas &amp; Planejamento Financeiro</t>
  </si>
  <si>
    <t xml:space="preserve">Modelo de comprovação numérica · dados fictícios, mas calibrados em benchmarks reais do setor</t>
  </si>
  <si>
    <t xml:space="preserve">O que é este arquivo</t>
  </si>
  <si>
    <t xml:space="preserve">Todos os números citados na documentação do projeto (Plano de Vendas, Planejamento Financeiro, SOM) são recalculados aqui mês a mês, a partir de premissas explícitas — não são digitados soltos. Mude uma premissa na aba 'Premissas' e todo o resto do arquivo recalcula automaticamente.</t>
  </si>
  <si>
    <t xml:space="preserve">Natureza dos dados</t>
  </si>
  <si>
    <t xml:space="preserve">SkillWay ainda não tem receita real. Os números são fictícios (a empresa não existe fora deste projeto acadêmico), mas foram construídos para serem realistas: a conversão do funil, o CAC, o ticket médio e os custos fixos têm como referência benchmarks reais de SaaS B2B brasileiro, citados na aba 'Comparáveis de Mercado' e nas células de nota de cada premissa.</t>
  </si>
  <si>
    <t xml:space="preserve">Como navegar</t>
  </si>
  <si>
    <t xml:space="preserve">1) Premissas — todas as variáveis de entrada, em uma só aba, com fonte/nota.
2) Funil de Vendas — leads, taxas de conversão e novos clientes fechados, mês a mês (Mês 1 a 24).
3) Receita e Clientes — clientes ativos, MRR e ARR mês a mês.
4) Custos Mensais — custo fixo por fase, CAC, custo de IA e comissão de vendas.
5) DRE Mensal — receita, custo, resultado operacional e caixa acumulado (mostra o mês exato do break-even).
6) Resumo Anual — Ano 1 x Ano 2 x Total 24 meses, no mesmo formato da Seção 20 da documentação.
7) Funil Padrão (Seção 19) — a tabela do funil em regime de maturidade, igual à da documentação.
8) Comparáveis de Mercado — as empresas reais usadas para calibrar as metas (com fonte).</t>
  </si>
  <si>
    <t xml:space="preserve">Código de cores</t>
  </si>
  <si>
    <t xml:space="preserve">Texto azul = premissa/entrada editável · Texto preto = fórmula (não editar) · Texto verde = referência a outra aba · Fundo amarelo claro = célula pensada para você testar outros cenários.</t>
  </si>
  <si>
    <t xml:space="preserve">Para comprovar um número da documentação</t>
  </si>
  <si>
    <t xml:space="preserve">Localize o mês ou o total correspondente nas abas 'Funil de Vendas', 'Receita e Clientes', 'Custos Mensais' ou 'DRE Mensal' — cada célula é uma fórmula rastreável até a premissa de origem.</t>
  </si>
  <si>
    <t xml:space="preserve">Premissas do Modelo</t>
  </si>
  <si>
    <t xml:space="preserve">Toda variável de entrada do modelo vive nesta aba — mude aqui e o resto recalcula</t>
  </si>
  <si>
    <t xml:space="preserve">Premissa</t>
  </si>
  <si>
    <t xml:space="preserve">Valor</t>
  </si>
  <si>
    <t xml:space="preserve">Unidade</t>
  </si>
  <si>
    <t xml:space="preserve">Fonte / Nota</t>
  </si>
  <si>
    <t xml:space="preserve">PRODUTO &amp; PRECIFICAÇÃO (Seção 19 — Plano de Vendas)</t>
  </si>
  <si>
    <t xml:space="preserve">Colaboradores médios por cliente</t>
  </si>
  <si>
    <t xml:space="preserve">colaboradores</t>
  </si>
  <si>
    <t xml:space="preserve">Média assumida entre os 3 planos (Starter 100–300, Growth 301–800, Enterprise 801–2.000) — ponderada para o perfil de cliente-alvo do ICP (Seção 19).</t>
  </si>
  <si>
    <t xml:space="preserve">Preço médio por colaborador/mês</t>
  </si>
  <si>
    <t xml:space="preserve">R$/colab/mês</t>
  </si>
  <si>
    <t xml:space="preserve">Média ponderada entre Starter R$29, Growth R$24 (plano de referência do SOM) e Enterprise R$19/colaborador/mês (Seção 19) — consistente com o R$25 usado no SOM (Seção 5).</t>
  </si>
  <si>
    <t xml:space="preserve">Ticket médio mensal por cliente</t>
  </si>
  <si>
    <t xml:space="preserve">R$/mês</t>
  </si>
  <si>
    <t xml:space="preserve">Colaboradores médios × Preço médio por colaborador. Usado para converter clientes ativos em MRR.</t>
  </si>
  <si>
    <t xml:space="preserve">FUNIL DE VENDAS (Seção 19 — taxas de conversão)</t>
  </si>
  <si>
    <t xml:space="preserve">Taxa Lead → Lead Qualificado</t>
  </si>
  <si>
    <t xml:space="preserve">%</t>
  </si>
  <si>
    <t xml:space="preserve">Benchmark típico de outbound B2B SaaS para PME (Seção 19).</t>
  </si>
  <si>
    <t xml:space="preserve">Taxa Qualificado → Demo agendada</t>
  </si>
  <si>
    <t xml:space="preserve">Idem.</t>
  </si>
  <si>
    <t xml:space="preserve">Taxa Demo → Proposta enviada</t>
  </si>
  <si>
    <t xml:space="preserve">Taxa Proposta → Cliente fechado</t>
  </si>
  <si>
    <t xml:space="preserve">Conversão geral (Lead → Fechado)</t>
  </si>
  <si>
    <t xml:space="preserve">Produto das 4 taxas acima — a 100 leads/mês equivale a 2 clientes fechados/mês, igual à Seção 19.</t>
  </si>
  <si>
    <t xml:space="preserve">CUSTOS VARIÁVEIS (Seção 20 — benchmarks reais)</t>
  </si>
  <si>
    <t xml:space="preserve">CAC por cliente novo (fechado via funil)</t>
  </si>
  <si>
    <t xml:space="preserve">R$/cliente</t>
  </si>
  <si>
    <t xml:space="preserve">Piso da faixa PME (R$3–15 mil) citada nos benchmarks — Baita/Metrikia/BeansTech (Seção 20). Não se aplica aos clientes-piloto (captados por relação direta, sem custo de aquisição).</t>
  </si>
  <si>
    <t xml:space="preserve">Custo de processamento de IA por colaborador ativo/mês</t>
  </si>
  <si>
    <t xml:space="preserve">Custo de infraestrutura de IA (inferência do motor de recomendação) por colaborador coberto pela plataforma.</t>
  </si>
  <si>
    <t xml:space="preserve">Comissão de vendas sobre a receita recorrente</t>
  </si>
  <si>
    <t xml:space="preserve">Comissão do time comercial sobre o MRR gerado no mês.</t>
  </si>
  <si>
    <t xml:space="preserve">CUSTOS FIXOS POR FASE (Seção 19 — fases do funil de vendas)</t>
  </si>
  <si>
    <t xml:space="preserve">Custo fixo mensal — Fase 1 · Piloto (M1–M3)</t>
  </si>
  <si>
    <t xml:space="preserve">Equipe fundadora, infraestrutura básica em nuvem e ferramentas — sem contratações.</t>
  </si>
  <si>
    <t xml:space="preserve">Custo fixo mensal — Fase 2 · Early Adopters (M4–M9)</t>
  </si>
  <si>
    <t xml:space="preserve">Ferramentas de vendas, Customer Success em regime parcial (Seção 19).</t>
  </si>
  <si>
    <t xml:space="preserve">Custo fixo mensal — Fase 3 · Scale inicial (M10–M18)</t>
  </si>
  <si>
    <t xml:space="preserve">1ª contratação de SDR ao atingir 10 clientes pagantes (Seção 19); infraestrutura escalando com a base.</t>
  </si>
  <si>
    <t xml:space="preserve">Custo fixo mensal — Fase 3 · Scale maduro (M19–M24)</t>
  </si>
  <si>
    <t xml:space="preserve">Time comercial e de Customer Success completos.</t>
  </si>
  <si>
    <t xml:space="preserve">FASE PILOTO (Seção 18/19)</t>
  </si>
  <si>
    <t xml:space="preserve">Clientes-piloto (sem cobrança)</t>
  </si>
  <si>
    <t xml:space="preserve">clientes</t>
  </si>
  <si>
    <t xml:space="preserve">2 a 3 empresas parceiras no piloto (Seção 19) — adotado 3 para o cálculo.</t>
  </si>
  <si>
    <t xml:space="preserve">Mês de conversão do piloto em cliente pagante</t>
  </si>
  <si>
    <t xml:space="preserve">mês</t>
  </si>
  <si>
    <t xml:space="preserve">Piloto roda M1–M3; os 3 clientes passam a pagar a partir do mês seguinte ao fim do piloto.</t>
  </si>
  <si>
    <t xml:space="preserve">META FINAL (Seção 5 — SOM)</t>
  </si>
  <si>
    <t xml:space="preserve">Meta de clientes ativos ao final de 24 meses (SOM)</t>
  </si>
  <si>
    <t xml:space="preserve">Igual ao SOM calculado no Dimensionamento de Mercado (Seção 5): 40 empresas em São Paulo.</t>
  </si>
  <si>
    <t xml:space="preserve">Funil de Vendas — Mês a Mês (M1 a M24)</t>
  </si>
  <si>
    <t xml:space="preserve">Leads prospectados são a premissa de entrada; tudo abaixo é fórmula a partir das taxas de conversão (aba Premissas)</t>
  </si>
  <si>
    <t xml:space="preserve">Métrica</t>
  </si>
  <si>
    <t xml:space="preserve">M1</t>
  </si>
  <si>
    <t xml:space="preserve">M2</t>
  </si>
  <si>
    <t xml:space="preserve">M3</t>
  </si>
  <si>
    <t xml:space="preserve">M4</t>
  </si>
  <si>
    <t xml:space="preserve">M5</t>
  </si>
  <si>
    <t xml:space="preserve">M6</t>
  </si>
  <si>
    <t xml:space="preserve">M7</t>
  </si>
  <si>
    <t xml:space="preserve">M8</t>
  </si>
  <si>
    <t xml:space="preserve">M9</t>
  </si>
  <si>
    <t xml:space="preserve">M10</t>
  </si>
  <si>
    <t xml:space="preserve">M11</t>
  </si>
  <si>
    <t xml:space="preserve">M12</t>
  </si>
  <si>
    <t xml:space="preserve">M13</t>
  </si>
  <si>
    <t xml:space="preserve">M14</t>
  </si>
  <si>
    <t xml:space="preserve">M15</t>
  </si>
  <si>
    <t xml:space="preserve">M16</t>
  </si>
  <si>
    <t xml:space="preserve">M17</t>
  </si>
  <si>
    <t xml:space="preserve">M18</t>
  </si>
  <si>
    <t xml:space="preserve">M19</t>
  </si>
  <si>
    <t xml:space="preserve">M20</t>
  </si>
  <si>
    <t xml:space="preserve">M21</t>
  </si>
  <si>
    <t xml:space="preserve">M22</t>
  </si>
  <si>
    <t xml:space="preserve">M23</t>
  </si>
  <si>
    <t xml:space="preserve">M24</t>
  </si>
  <si>
    <t xml:space="preserve">Total 24m</t>
  </si>
  <si>
    <t xml:space="preserve">Mês nº</t>
  </si>
  <si>
    <t xml:space="preserve">Fase</t>
  </si>
  <si>
    <t xml:space="preserve">Leads prospectados (entrada)</t>
  </si>
  <si>
    <t xml:space="preserve">Leads qualificados</t>
  </si>
  <si>
    <t xml:space="preserve">Demos agendadas</t>
  </si>
  <si>
    <t xml:space="preserve">Propostas enviadas</t>
  </si>
  <si>
    <t xml:space="preserve">Clientes fechados via funil (novos)</t>
  </si>
  <si>
    <t xml:space="preserve">Clientes-piloto convertidos em pagantes</t>
  </si>
  <si>
    <t xml:space="preserve">Total de novos clientes pagantes no mês</t>
  </si>
  <si>
    <t xml:space="preserve">Clientes pagantes ativos (acumulado)</t>
  </si>
  <si>
    <t xml:space="preserve">Nota: 'Leads prospectados' é a única premissa de volume comercial inserida manualmente mês a mês — calibrada para reproduzir os marcos de clientes ativos citados na Seção 20 (3 no M3 · 6 no M6 · 10 no M9 · 16 no M12 · 28 no M18 · 40 no M24). Todas as demais linhas são fórmulas das taxas de conversão da aba Premissas.</t>
  </si>
  <si>
    <t xml:space="preserve">Receita e Clientes — Mês a Mês</t>
  </si>
  <si>
    <t xml:space="preserve">MRR = Clientes ativos (aba Funil de Vendas) × Ticket médio (aba Premissas)</t>
  </si>
  <si>
    <t xml:space="preserve">Fim 24m</t>
  </si>
  <si>
    <t xml:space="preserve">Clientes pagantes ativos</t>
  </si>
  <si>
    <t xml:space="preserve">MRR — Receita Recorrente Mensal (R$)</t>
  </si>
  <si>
    <t xml:space="preserve">ARR — Receita Recorrente Anualizada (R$)</t>
  </si>
  <si>
    <t xml:space="preserve">CONFERÊNCIA COM A DOCUMENTAÇÃO (Seção 20)</t>
  </si>
  <si>
    <t xml:space="preserve">Marco</t>
  </si>
  <si>
    <t xml:space="preserve">Mês</t>
  </si>
  <si>
    <t xml:space="preserve">Clientes (doc.)</t>
  </si>
  <si>
    <t xml:space="preserve">Clientes (modelo)</t>
  </si>
  <si>
    <t xml:space="preserve">MRR (doc.)</t>
  </si>
  <si>
    <t xml:space="preserve">MRR (modelo)</t>
  </si>
  <si>
    <t xml:space="preserve">Confere?</t>
  </si>
  <si>
    <t xml:space="preserve">Fim do Piloto</t>
  </si>
  <si>
    <t xml:space="preserve">—</t>
  </si>
  <si>
    <t xml:space="preserve">Meta Early Adopters</t>
  </si>
  <si>
    <t xml:space="preserve">Fim do Ano 1</t>
  </si>
  <si>
    <t xml:space="preserve">Meta Final (= SOM Seção 5)</t>
  </si>
  <si>
    <t xml:space="preserve">Nota sobre o Mês 3: os 3 clientes do piloto já existem nesse mês, mas ainda não pagam (R$0 MRR) — por isso não entram em 'Clientes pagantes ativos' até o Mês 4, quando o piloto termina e eles passam a ser cobrados.</t>
  </si>
  <si>
    <t xml:space="preserve">Custos Mensais</t>
  </si>
  <si>
    <t xml:space="preserve">Custo fixo por fase + CAC + processamento de IA + comissão de vendas — todos ligados à aba Premissas</t>
  </si>
  <si>
    <t xml:space="preserve">Custo fixo do mês (por fase)</t>
  </si>
  <si>
    <t xml:space="preserve">Novos clientes via funil (ref.)</t>
  </si>
  <si>
    <t xml:space="preserve">CAC total do mês</t>
  </si>
  <si>
    <t xml:space="preserve">Colaboradores cobertos (total ativo)</t>
  </si>
  <si>
    <t xml:space="preserve">Custo de processamento de IA</t>
  </si>
  <si>
    <t xml:space="preserve">Comissão de vendas (% do MRR)</t>
  </si>
  <si>
    <t xml:space="preserve">CUSTO TOTAL DO MÊS</t>
  </si>
  <si>
    <t xml:space="preserve">DRE Mensal e Caixa Acumulado</t>
  </si>
  <si>
    <t xml:space="preserve">Resultado = Receita − Custo · Caixa acumulado mostra o mês exato do break-even</t>
  </si>
  <si>
    <t xml:space="preserve">Receita (MRR)</t>
  </si>
  <si>
    <t xml:space="preserve">Custo total</t>
  </si>
  <si>
    <t xml:space="preserve">Resultado operacional do mês</t>
  </si>
  <si>
    <t xml:space="preserve">Caixa acumulado (desde M1)</t>
  </si>
  <si>
    <t xml:space="preserve">Capital mínimo necessário até o break-even</t>
  </si>
  <si>
    <t xml:space="preserve">(= pior caixa acumulado, em módulo — o quanto a operação precisa de aporte/caixa próprio até virar positiva)</t>
  </si>
  <si>
    <t xml:space="preserve">Mês do break-even (1º mês com caixa acumulado ≥ 0)</t>
  </si>
  <si>
    <t xml:space="preserve">(fórmula de matriz simples via INDEX/MATCH — primeiro mês em que o caixa acumulado deixa de ser negativo)</t>
  </si>
  <si>
    <t xml:space="preserve">Resumo Anual — Ano 1 × Ano 2 × Total 24 Meses</t>
  </si>
  <si>
    <t xml:space="preserve">Mesmo formato da Seção 20 da documentação — valores recalculados por SUMIFS a partir da DRE Mensal</t>
  </si>
  <si>
    <t xml:space="preserve">Período</t>
  </si>
  <si>
    <t xml:space="preserve">Receita</t>
  </si>
  <si>
    <t xml:space="preserve">Custos</t>
  </si>
  <si>
    <t xml:space="preserve">Resultado Operacional</t>
  </si>
  <si>
    <t xml:space="preserve">Ano 1 (M1–M12)</t>
  </si>
  <si>
    <t xml:space="preserve">Ano 2 (M13–M24)</t>
  </si>
  <si>
    <t xml:space="preserve">Total 24 meses</t>
  </si>
  <si>
    <t xml:space="preserve">Indicadores-Chave</t>
  </si>
  <si>
    <t xml:space="preserve">Indicador</t>
  </si>
  <si>
    <t xml:space="preserve">Nota</t>
  </si>
  <si>
    <t xml:space="preserve">ARR ao final de 24 meses</t>
  </si>
  <si>
    <t xml:space="preserve">MRR do mês 24 × 12 — compare com a meta de R$3,6 milhões (SOM, Seção 5).</t>
  </si>
  <si>
    <t xml:space="preserve">Pior caixa acumulado em módulo — compare com os ~R$45 mil citados na Seção 20.</t>
  </si>
  <si>
    <t xml:space="preserve">Mês do break-even</t>
  </si>
  <si>
    <t xml:space="preserve">Primeiro mês com caixa acumulado ≥ 0 — compare com o Mês 6 citado na Seção 20.</t>
  </si>
  <si>
    <t xml:space="preserve">Clientes ativos ao final de 24 meses</t>
  </si>
  <si>
    <t xml:space="preserve">Compare com os 40 clientes do SOM (Seção 5).</t>
  </si>
  <si>
    <t xml:space="preserve">Funil de Vendas em Regime de Maturidade</t>
  </si>
  <si>
    <t xml:space="preserve">Mesma tabela da Seção 19 da documentação — recalculada a partir das taxas de conversão da aba Premissas</t>
  </si>
  <si>
    <t xml:space="preserve">Etapa</t>
  </si>
  <si>
    <t xml:space="preserve">Volume mensal (meta)</t>
  </si>
  <si>
    <t xml:space="preserve">Conversão p/ próxima etapa</t>
  </si>
  <si>
    <t xml:space="preserve">1. Leads prospectados (outbound + LinkedIn)</t>
  </si>
  <si>
    <t xml:space="preserve">2. Leads qualificados (SQL)</t>
  </si>
  <si>
    <t xml:space="preserve">3. Diagnóstico / Demo agendada</t>
  </si>
  <si>
    <t xml:space="preserve">4. Proposta enviada</t>
  </si>
  <si>
    <t xml:space="preserve">5. Cliente fechado</t>
  </si>
  <si>
    <t xml:space="preserve">Conversão geral (Lead → Cliente fechado)</t>
  </si>
  <si>
    <t xml:space="preserve">Metas por Fase (Seção 19)</t>
  </si>
  <si>
    <t xml:space="preserve">Meta</t>
  </si>
  <si>
    <t xml:space="preserve">Fase 1 · Piloto</t>
  </si>
  <si>
    <t xml:space="preserve">M1–M3</t>
  </si>
  <si>
    <t xml:space="preserve">Fase 2 · Early Adopters</t>
  </si>
  <si>
    <t xml:space="preserve">M4–M9</t>
  </si>
  <si>
    <t xml:space="preserve">Fase 3 · Scale</t>
  </si>
  <si>
    <t xml:space="preserve">M10–M24</t>
  </si>
  <si>
    <t xml:space="preserve">Comparáveis Reais do Setor</t>
  </si>
  <si>
    <t xml:space="preserve">Empresas reais usadas para calibrar as metas do modelo (Seção 20 da documentação) — dados reportados publicamente, não fictícios</t>
  </si>
  <si>
    <t xml:space="preserve">Empresa</t>
  </si>
  <si>
    <t xml:space="preserve">Modelo</t>
  </si>
  <si>
    <t xml:space="preserve">Marco real reportado</t>
  </si>
  <si>
    <t xml:space="preserve">Fonte</t>
  </si>
  <si>
    <t xml:space="preserve">Scaleup</t>
  </si>
  <si>
    <t xml:space="preserve">Capacitação empreendedora (B2C, alto volume)</t>
  </si>
  <si>
    <t xml:space="preserve">R$3 milhões de faturamento já no 1º ano</t>
  </si>
  <si>
    <t xml:space="preserve">Baguete</t>
  </si>
  <si>
    <t xml:space="preserve">Witseed</t>
  </si>
  <si>
    <t xml:space="preserve">Educação corporativa B2B (HRAcademy)</t>
  </si>
  <si>
    <t xml:space="preserve">Aporte seed de R$920 mil após ~4 anos; equipe de 15 para 27 pessoas</t>
  </si>
  <si>
    <t xml:space="preserve">Education Journey</t>
  </si>
  <si>
    <t xml:space="preserve">Curadoria de trilhas p/ empresas — modelo mais próximo do SkillWay</t>
  </si>
  <si>
    <t xml:space="preserve">Contrato fechado com a Ambev (4 mil cursos) ainda em estágio inicial</t>
  </si>
  <si>
    <t xml:space="preserve">Forbes Brasil</t>
  </si>
  <si>
    <t xml:space="preserve">Gupy</t>
  </si>
  <si>
    <t xml:space="preserve">HRTech (recrutamento → hoje suíte completa)</t>
  </si>
  <si>
    <t xml:space="preserve">15% de crescimento médio mensal de receita até a Series A, já com "centenas" de clientes pagantes</t>
  </si>
  <si>
    <t xml:space="preserve">LAVCA</t>
  </si>
  <si>
    <t xml:space="preserve">Sólides</t>
  </si>
  <si>
    <t xml:space="preserve">RH comportamental p/ PME (concorrente, Seção 3)</t>
  </si>
  <si>
    <t xml:space="preserve">45 mil clientes, mas via aporte de R$530 milhões + aquisições — não crescimento orgânico</t>
  </si>
  <si>
    <t xml:space="preserve">Seção 3 da documentação</t>
  </si>
  <si>
    <t xml:space="preserve">Benchmarks complementares de SaaS B2B no Brasil</t>
  </si>
  <si>
    <t xml:space="preserve">MRR mediano pré-seed</t>
  </si>
  <si>
    <t xml:space="preserve">~R$15.000/mês</t>
  </si>
  <si>
    <t xml:space="preserve">CAC — segmento PME</t>
  </si>
  <si>
    <t xml:space="preserve">R$3.000 a R$15.000 por cliente</t>
  </si>
  <si>
    <t xml:space="preserve">CAC — segmento mid-market</t>
  </si>
  <si>
    <t xml:space="preserve">R$30.000 a R$150.000 por cliente</t>
  </si>
  <si>
    <t xml:space="preserve">LTV/CAC saudável</t>
  </si>
  <si>
    <t xml:space="preserve">≥ 3x</t>
  </si>
  <si>
    <t xml:space="preserve">Churn mensal — estágio pré-seed</t>
  </si>
  <si>
    <t xml:space="preserve">~7,5%</t>
  </si>
  <si>
    <t xml:space="preserve">Churn mensal — estágio Series B+</t>
  </si>
  <si>
    <t xml:space="preserve">~1%</t>
  </si>
  <si>
    <t xml:space="preserve">Baita, Metrikia, BeansTech (citados na Seção 20 da documentação)</t>
  </si>
  <si>
    <t xml:space="preserve">Como este modelo usa esses benchmarks: o CAC de R$3.000/cliente (aba Premissas) está no piso da faixa PME; o ritmo de fechamento (2 clientes/mês em regime de maturidade) é mais conservador que o da Gupy; e o preço médio de R$25/colaborador/mês está abaixo do que HRTechs consolidadas cobram, coerente com uma empresa em estágio inicial.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</si>
</sst>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#,##0;\(#,##0\);\-"/>
    <numFmt numFmtId="167" formatCode="0.0%"/>
    <numFmt numFmtId="168" formatCode="0.00%"/>
    <numFmt numFmtId="169" formatCode="General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9.5"/>
      <color rgb="FF9AA3B5"/>
      <name val="Arial"/>
      <family val="0"/>
      <charset val="1"/>
    </font>
    <font>
      <b val="true"/>
      <sz val="10"/>
      <color rgb="FF0A0F2C"/>
      <name val="Arial"/>
      <family val="0"/>
      <charset val="1"/>
    </font>
    <font>
      <sz val="10"/>
      <color rgb="FF22222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.5"/>
      <color rgb="FF7C4BFE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.5"/>
      <color rgb="FF9AA3B5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7.5"/>
      <color rgb="FF9AA3B5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7C4BFE"/>
      <name val="Arial"/>
      <family val="0"/>
      <charset val="1"/>
    </font>
    <font>
      <b val="true"/>
      <sz val="11"/>
      <color rgb="FF7C4BFE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A0F2C"/>
        <bgColor rgb="FF000000"/>
      </patternFill>
    </fill>
    <fill>
      <patternFill patternType="solid">
        <fgColor rgb="FF12395E"/>
        <bgColor rgb="FF333399"/>
      </patternFill>
    </fill>
    <fill>
      <patternFill patternType="solid">
        <fgColor rgb="FFF1F3F8"/>
        <bgColor rgb="FFEAF6EE"/>
      </patternFill>
    </fill>
    <fill>
      <patternFill patternType="solid">
        <fgColor rgb="FFFFFDE7"/>
        <bgColor rgb="FFFFFFFF"/>
      </patternFill>
    </fill>
    <fill>
      <patternFill patternType="solid">
        <fgColor rgb="FFE3F2F6"/>
        <bgColor rgb="FFEAF6EE"/>
      </patternFill>
    </fill>
    <fill>
      <patternFill patternType="solid">
        <fgColor rgb="FFEAF6EE"/>
        <bgColor rgb="FFF1F3F8"/>
      </patternFill>
    </fill>
    <fill>
      <patternFill patternType="solid">
        <fgColor rgb="FFF1ECFF"/>
        <bgColor rgb="FFF1F3F8"/>
      </patternFill>
    </fill>
    <fill>
      <patternFill patternType="solid">
        <fgColor rgb="FFE3E6EE"/>
        <bgColor rgb="FFE3F2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7DBE6"/>
      </left>
      <right style="thin">
        <color rgb="FFD7DBE6"/>
      </right>
      <top style="thin">
        <color rgb="FFD7DBE6"/>
      </top>
      <bottom style="thin">
        <color rgb="FFD7DB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0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9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9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9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A0F2C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E3F2F6"/>
      <rgbColor rgb="FF660066"/>
      <rgbColor rgb="FFFF8080"/>
      <rgbColor rgb="FF0066CC"/>
      <rgbColor rgb="FFD7DB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6EE"/>
      <rgbColor rgb="FFE3E6EE"/>
      <rgbColor rgb="FFF1F3F8"/>
      <rgbColor rgb="FF99CCFF"/>
      <rgbColor rgb="FFFF99CC"/>
      <rgbColor rgb="FFCC99FF"/>
      <rgbColor rgb="FFF1ECFF"/>
      <rgbColor rgb="FF3366FF"/>
      <rgbColor rgb="FF33CCCC"/>
      <rgbColor rgb="FF99CC00"/>
      <rgbColor rgb="FFFFCC00"/>
      <rgbColor rgb="FFFF9900"/>
      <rgbColor rgb="FFFF6600"/>
      <rgbColor rgb="FF7C4BFE"/>
      <rgbColor rgb="FF9AA3B5"/>
      <rgbColor rgb="FF12395E"/>
      <rgbColor rgb="FF339966"/>
      <rgbColor rgb="FF003300"/>
      <rgbColor rgb="FF333300"/>
      <rgbColor rgb="FF993300"/>
      <rgbColor rgb="FF993366"/>
      <rgbColor rgb="FF333399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70"/>
    <col collapsed="false" customWidth="true" hidden="false" outlineLevel="0" max="4" min="4" style="0" width="3"/>
  </cols>
  <sheetData>
    <row r="1" customFormat="false" ht="25.5" hidden="false" customHeight="true" outlineLevel="0" collapsed="false">
      <c r="A1" s="1" t="s">
        <v>0</v>
      </c>
      <c r="B1" s="1"/>
      <c r="C1" s="1"/>
    </row>
    <row r="2" customFormat="false" ht="15.75" hidden="false" customHeight="true" outlineLevel="0" collapsed="false">
      <c r="A2" s="2" t="s">
        <v>1</v>
      </c>
      <c r="B2" s="2"/>
      <c r="C2" s="2"/>
    </row>
    <row r="5" customFormat="false" ht="55.5" hidden="false" customHeight="true" outlineLevel="0" collapsed="false">
      <c r="B5" s="3" t="s">
        <v>2</v>
      </c>
      <c r="C5" s="4" t="s">
        <v>3</v>
      </c>
    </row>
    <row r="7" customFormat="false" ht="69.75" hidden="false" customHeight="true" outlineLevel="0" collapsed="false">
      <c r="B7" s="3" t="s">
        <v>4</v>
      </c>
      <c r="C7" s="4" t="s">
        <v>5</v>
      </c>
    </row>
    <row r="9" customFormat="false" ht="223.5" hidden="false" customHeight="true" outlineLevel="0" collapsed="false">
      <c r="B9" s="3" t="s">
        <v>6</v>
      </c>
      <c r="C9" s="4" t="s">
        <v>7</v>
      </c>
    </row>
    <row r="11" customFormat="false" ht="42" hidden="false" customHeight="true" outlineLevel="0" collapsed="false">
      <c r="B11" s="3" t="s">
        <v>8</v>
      </c>
      <c r="C11" s="4" t="s">
        <v>9</v>
      </c>
    </row>
    <row r="13" customFormat="false" ht="42" hidden="false" customHeight="true" outlineLevel="0" collapsed="false">
      <c r="B13" s="3" t="s">
        <v>10</v>
      </c>
      <c r="C13" s="4" t="s">
        <v>11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58"/>
    <col collapsed="false" customWidth="true" hidden="false" outlineLevel="0" max="6" min="6" style="0" width="3"/>
  </cols>
  <sheetData>
    <row r="1" customFormat="false" ht="25.5" hidden="false" customHeight="true" outlineLevel="0" collapsed="false">
      <c r="A1" s="1" t="s">
        <v>12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13</v>
      </c>
      <c r="B2" s="2"/>
      <c r="C2" s="2"/>
      <c r="D2" s="2"/>
      <c r="E2" s="2"/>
    </row>
    <row r="4" customFormat="false" ht="18" hidden="false" customHeight="true" outlineLevel="0" collapsed="false">
      <c r="B4" s="5" t="s">
        <v>14</v>
      </c>
      <c r="C4" s="5" t="s">
        <v>15</v>
      </c>
      <c r="D4" s="5" t="s">
        <v>16</v>
      </c>
      <c r="E4" s="5" t="s">
        <v>17</v>
      </c>
    </row>
    <row r="5" customFormat="false" ht="15.75" hidden="false" customHeight="true" outlineLevel="0" collapsed="false">
      <c r="B5" s="6" t="s">
        <v>18</v>
      </c>
      <c r="C5" s="6"/>
      <c r="D5" s="6"/>
      <c r="E5" s="6"/>
    </row>
    <row r="6" customFormat="false" ht="39" hidden="false" customHeight="true" outlineLevel="0" collapsed="false">
      <c r="B6" s="7" t="s">
        <v>19</v>
      </c>
      <c r="C6" s="8" t="n">
        <v>300</v>
      </c>
      <c r="D6" s="9" t="s">
        <v>20</v>
      </c>
      <c r="E6" s="10" t="s">
        <v>21</v>
      </c>
    </row>
    <row r="7" customFormat="false" ht="39" hidden="false" customHeight="true" outlineLevel="0" collapsed="false">
      <c r="B7" s="7" t="s">
        <v>22</v>
      </c>
      <c r="C7" s="11" t="n">
        <v>25</v>
      </c>
      <c r="D7" s="9" t="s">
        <v>23</v>
      </c>
      <c r="E7" s="10" t="s">
        <v>24</v>
      </c>
    </row>
    <row r="8" customFormat="false" ht="25.5" hidden="false" customHeight="true" outlineLevel="0" collapsed="false">
      <c r="B8" s="7" t="s">
        <v>25</v>
      </c>
      <c r="C8" s="12" t="n">
        <f aca="false">C6*C7</f>
        <v>7500</v>
      </c>
      <c r="D8" s="9" t="s">
        <v>26</v>
      </c>
      <c r="E8" s="10" t="s">
        <v>27</v>
      </c>
    </row>
    <row r="9" customFormat="false" ht="15.75" hidden="false" customHeight="true" outlineLevel="0" collapsed="false">
      <c r="B9" s="6" t="s">
        <v>28</v>
      </c>
      <c r="C9" s="6"/>
      <c r="D9" s="6"/>
      <c r="E9" s="6"/>
    </row>
    <row r="10" customFormat="false" ht="15" hidden="false" customHeight="true" outlineLevel="0" collapsed="false">
      <c r="B10" s="7" t="s">
        <v>29</v>
      </c>
      <c r="C10" s="13" t="n">
        <v>0.2</v>
      </c>
      <c r="D10" s="9" t="s">
        <v>30</v>
      </c>
      <c r="E10" s="10" t="s">
        <v>31</v>
      </c>
    </row>
    <row r="11" customFormat="false" ht="15" hidden="false" customHeight="true" outlineLevel="0" collapsed="false">
      <c r="B11" s="7" t="s">
        <v>32</v>
      </c>
      <c r="C11" s="13" t="n">
        <v>0.4</v>
      </c>
      <c r="D11" s="9" t="s">
        <v>30</v>
      </c>
      <c r="E11" s="10" t="s">
        <v>33</v>
      </c>
    </row>
    <row r="12" customFormat="false" ht="15" hidden="false" customHeight="true" outlineLevel="0" collapsed="false">
      <c r="B12" s="7" t="s">
        <v>34</v>
      </c>
      <c r="C12" s="13" t="n">
        <v>0.5</v>
      </c>
      <c r="D12" s="9" t="s">
        <v>30</v>
      </c>
      <c r="E12" s="10" t="s">
        <v>33</v>
      </c>
    </row>
    <row r="13" customFormat="false" ht="15" hidden="false" customHeight="true" outlineLevel="0" collapsed="false">
      <c r="B13" s="7" t="s">
        <v>35</v>
      </c>
      <c r="C13" s="13" t="n">
        <v>0.5</v>
      </c>
      <c r="D13" s="9" t="s">
        <v>30</v>
      </c>
      <c r="E13" s="10" t="s">
        <v>33</v>
      </c>
    </row>
    <row r="14" customFormat="false" ht="25.5" hidden="false" customHeight="true" outlineLevel="0" collapsed="false">
      <c r="B14" s="7" t="s">
        <v>36</v>
      </c>
      <c r="C14" s="14" t="n">
        <f aca="false">C10*C11*C12*C13</f>
        <v>0.02</v>
      </c>
      <c r="D14" s="9" t="s">
        <v>30</v>
      </c>
      <c r="E14" s="10" t="s">
        <v>37</v>
      </c>
    </row>
    <row r="15" customFormat="false" ht="15.75" hidden="false" customHeight="true" outlineLevel="0" collapsed="false">
      <c r="B15" s="6" t="s">
        <v>38</v>
      </c>
      <c r="C15" s="6"/>
      <c r="D15" s="6"/>
      <c r="E15" s="6"/>
    </row>
    <row r="16" customFormat="false" ht="39" hidden="false" customHeight="true" outlineLevel="0" collapsed="false">
      <c r="B16" s="7" t="s">
        <v>39</v>
      </c>
      <c r="C16" s="15" t="n">
        <v>3000</v>
      </c>
      <c r="D16" s="9" t="s">
        <v>40</v>
      </c>
      <c r="E16" s="10" t="s">
        <v>41</v>
      </c>
    </row>
    <row r="17" customFormat="false" ht="25.5" hidden="false" customHeight="true" outlineLevel="0" collapsed="false">
      <c r="B17" s="7" t="s">
        <v>42</v>
      </c>
      <c r="C17" s="11" t="n">
        <v>0.5</v>
      </c>
      <c r="D17" s="9" t="s">
        <v>23</v>
      </c>
      <c r="E17" s="10" t="s">
        <v>43</v>
      </c>
    </row>
    <row r="18" customFormat="false" ht="15" hidden="false" customHeight="true" outlineLevel="0" collapsed="false">
      <c r="B18" s="7" t="s">
        <v>44</v>
      </c>
      <c r="C18" s="13" t="n">
        <v>0.05</v>
      </c>
      <c r="D18" s="9" t="s">
        <v>30</v>
      </c>
      <c r="E18" s="10" t="s">
        <v>45</v>
      </c>
    </row>
    <row r="19" customFormat="false" ht="15.75" hidden="false" customHeight="true" outlineLevel="0" collapsed="false">
      <c r="B19" s="6" t="s">
        <v>46</v>
      </c>
      <c r="C19" s="6"/>
      <c r="D19" s="6"/>
      <c r="E19" s="6"/>
    </row>
    <row r="20" customFormat="false" ht="25.5" hidden="false" customHeight="true" outlineLevel="0" collapsed="false">
      <c r="B20" s="7" t="s">
        <v>47</v>
      </c>
      <c r="C20" s="15" t="n">
        <v>2500</v>
      </c>
      <c r="D20" s="9" t="s">
        <v>26</v>
      </c>
      <c r="E20" s="10" t="s">
        <v>48</v>
      </c>
    </row>
    <row r="21" customFormat="false" ht="15" hidden="false" customHeight="true" outlineLevel="0" collapsed="false">
      <c r="B21" s="7" t="s">
        <v>49</v>
      </c>
      <c r="C21" s="15" t="n">
        <v>7000</v>
      </c>
      <c r="D21" s="9" t="s">
        <v>26</v>
      </c>
      <c r="E21" s="10" t="s">
        <v>50</v>
      </c>
    </row>
    <row r="22" customFormat="false" ht="25.5" hidden="false" customHeight="true" outlineLevel="0" collapsed="false">
      <c r="B22" s="7" t="s">
        <v>51</v>
      </c>
      <c r="C22" s="15" t="n">
        <v>14000</v>
      </c>
      <c r="D22" s="9" t="s">
        <v>26</v>
      </c>
      <c r="E22" s="10" t="s">
        <v>52</v>
      </c>
    </row>
    <row r="23" customFormat="false" ht="15" hidden="false" customHeight="true" outlineLevel="0" collapsed="false">
      <c r="B23" s="7" t="s">
        <v>53</v>
      </c>
      <c r="C23" s="15" t="n">
        <v>19000</v>
      </c>
      <c r="D23" s="9" t="s">
        <v>26</v>
      </c>
      <c r="E23" s="10" t="s">
        <v>54</v>
      </c>
    </row>
    <row r="24" customFormat="false" ht="15.75" hidden="false" customHeight="true" outlineLevel="0" collapsed="false">
      <c r="B24" s="6" t="s">
        <v>55</v>
      </c>
      <c r="C24" s="6"/>
      <c r="D24" s="6"/>
      <c r="E24" s="6"/>
    </row>
    <row r="25" customFormat="false" ht="25.5" hidden="false" customHeight="true" outlineLevel="0" collapsed="false">
      <c r="B25" s="7" t="s">
        <v>56</v>
      </c>
      <c r="C25" s="8" t="n">
        <v>3</v>
      </c>
      <c r="D25" s="9" t="s">
        <v>57</v>
      </c>
      <c r="E25" s="10" t="s">
        <v>58</v>
      </c>
    </row>
    <row r="26" customFormat="false" ht="25.5" hidden="false" customHeight="true" outlineLevel="0" collapsed="false">
      <c r="B26" s="7" t="s">
        <v>59</v>
      </c>
      <c r="C26" s="8" t="n">
        <v>4</v>
      </c>
      <c r="D26" s="9" t="s">
        <v>60</v>
      </c>
      <c r="E26" s="10" t="s">
        <v>61</v>
      </c>
    </row>
    <row r="27" customFormat="false" ht="15.75" hidden="false" customHeight="true" outlineLevel="0" collapsed="false">
      <c r="B27" s="6" t="s">
        <v>62</v>
      </c>
      <c r="C27" s="6"/>
      <c r="D27" s="6"/>
      <c r="E27" s="6"/>
    </row>
    <row r="28" customFormat="false" ht="25.5" hidden="false" customHeight="true" outlineLevel="0" collapsed="false">
      <c r="B28" s="7" t="s">
        <v>63</v>
      </c>
      <c r="C28" s="8" t="n">
        <v>40</v>
      </c>
      <c r="D28" s="9" t="s">
        <v>57</v>
      </c>
      <c r="E28" s="10" t="s">
        <v>64</v>
      </c>
    </row>
  </sheetData>
  <mergeCells count="8">
    <mergeCell ref="A1:E1"/>
    <mergeCell ref="A2:E2"/>
    <mergeCell ref="B5:E5"/>
    <mergeCell ref="B9:E9"/>
    <mergeCell ref="B15:E15"/>
    <mergeCell ref="B19:E19"/>
    <mergeCell ref="B24:E24"/>
    <mergeCell ref="B27:E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26" min="3" style="0" width="9"/>
    <col collapsed="false" customWidth="true" hidden="false" outlineLevel="0" max="27" min="27" style="0" width="11"/>
    <col collapsed="false" customWidth="true" hidden="false" outlineLevel="0" max="28" min="28" style="0" width="3"/>
  </cols>
  <sheetData>
    <row r="1" customFormat="false" ht="25.5" hidden="false" customHeight="true" outlineLevel="0" collapsed="false">
      <c r="A1" s="1" t="s">
        <v>65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true" outlineLevel="0" collapsed="false">
      <c r="A2" s="2" t="s">
        <v>66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5.75" hidden="false" customHeight="true" outlineLevel="0" collapsed="false">
      <c r="B4" s="16" t="s">
        <v>67</v>
      </c>
      <c r="C4" s="17" t="s">
        <v>68</v>
      </c>
      <c r="D4" s="17" t="s">
        <v>69</v>
      </c>
      <c r="E4" s="17" t="s">
        <v>70</v>
      </c>
      <c r="F4" s="17" t="s">
        <v>71</v>
      </c>
      <c r="G4" s="17" t="s">
        <v>72</v>
      </c>
      <c r="H4" s="17" t="s">
        <v>73</v>
      </c>
      <c r="I4" s="17" t="s">
        <v>74</v>
      </c>
      <c r="J4" s="17" t="s">
        <v>75</v>
      </c>
      <c r="K4" s="17" t="s">
        <v>76</v>
      </c>
      <c r="L4" s="17" t="s">
        <v>77</v>
      </c>
      <c r="M4" s="17" t="s">
        <v>78</v>
      </c>
      <c r="N4" s="17" t="s">
        <v>79</v>
      </c>
      <c r="O4" s="17" t="s">
        <v>80</v>
      </c>
      <c r="P4" s="17" t="s">
        <v>81</v>
      </c>
      <c r="Q4" s="17" t="s">
        <v>82</v>
      </c>
      <c r="R4" s="17" t="s">
        <v>83</v>
      </c>
      <c r="S4" s="17" t="s">
        <v>84</v>
      </c>
      <c r="T4" s="17" t="s">
        <v>85</v>
      </c>
      <c r="U4" s="17" t="s">
        <v>86</v>
      </c>
      <c r="V4" s="17" t="s">
        <v>87</v>
      </c>
      <c r="W4" s="17" t="s">
        <v>88</v>
      </c>
      <c r="X4" s="17" t="s">
        <v>89</v>
      </c>
      <c r="Y4" s="17" t="s">
        <v>90</v>
      </c>
      <c r="Z4" s="17" t="s">
        <v>91</v>
      </c>
      <c r="AA4" s="17" t="s">
        <v>92</v>
      </c>
    </row>
    <row r="5" customFormat="false" ht="15" hidden="false" customHeight="false" outlineLevel="0" collapsed="false">
      <c r="B5" s="18" t="s">
        <v>93</v>
      </c>
      <c r="C5" s="19" t="n">
        <v>1</v>
      </c>
      <c r="D5" s="19" t="n">
        <v>2</v>
      </c>
      <c r="E5" s="19" t="n">
        <v>3</v>
      </c>
      <c r="F5" s="19" t="n">
        <v>4</v>
      </c>
      <c r="G5" s="19" t="n">
        <v>5</v>
      </c>
      <c r="H5" s="19" t="n">
        <v>6</v>
      </c>
      <c r="I5" s="19" t="n">
        <v>7</v>
      </c>
      <c r="J5" s="19" t="n">
        <v>8</v>
      </c>
      <c r="K5" s="19" t="n">
        <v>9</v>
      </c>
      <c r="L5" s="19" t="n">
        <v>10</v>
      </c>
      <c r="M5" s="19" t="n">
        <v>11</v>
      </c>
      <c r="N5" s="19" t="n">
        <v>12</v>
      </c>
      <c r="O5" s="19" t="n">
        <v>13</v>
      </c>
      <c r="P5" s="19" t="n">
        <v>14</v>
      </c>
      <c r="Q5" s="19" t="n">
        <v>15</v>
      </c>
      <c r="R5" s="19" t="n">
        <v>16</v>
      </c>
      <c r="S5" s="19" t="n">
        <v>17</v>
      </c>
      <c r="T5" s="19" t="n">
        <v>18</v>
      </c>
      <c r="U5" s="19" t="n">
        <v>19</v>
      </c>
      <c r="V5" s="19" t="n">
        <v>20</v>
      </c>
      <c r="W5" s="19" t="n">
        <v>21</v>
      </c>
      <c r="X5" s="19" t="n">
        <v>22</v>
      </c>
      <c r="Y5" s="19" t="n">
        <v>23</v>
      </c>
      <c r="Z5" s="19" t="n">
        <v>24</v>
      </c>
    </row>
    <row r="6" customFormat="false" ht="15" hidden="false" customHeight="false" outlineLevel="0" collapsed="false">
      <c r="B6" s="18" t="s">
        <v>94</v>
      </c>
      <c r="C6" s="20" t="str">
        <f aca="false">IF(C5&lt;=3,"Piloto",IF(C5&lt;=9,"Early Adopters",IF(C5&lt;=18,"Scale inicial","Scale maduro")))</f>
        <v>Piloto</v>
      </c>
      <c r="D6" s="20" t="str">
        <f aca="false">IF(D5&lt;=3,"Piloto",IF(D5&lt;=9,"Early Adopters",IF(D5&lt;=18,"Scale inicial","Scale maduro")))</f>
        <v>Piloto</v>
      </c>
      <c r="E6" s="20" t="str">
        <f aca="false">IF(E5&lt;=3,"Piloto",IF(E5&lt;=9,"Early Adopters",IF(E5&lt;=18,"Scale inicial","Scale maduro")))</f>
        <v>Piloto</v>
      </c>
      <c r="F6" s="21" t="str">
        <f aca="false">IF(F5&lt;=3,"Piloto",IF(F5&lt;=9,"Early Adopters",IF(F5&lt;=18,"Scale inicial","Scale maduro")))</f>
        <v>Early Adopters</v>
      </c>
      <c r="G6" s="21" t="str">
        <f aca="false">IF(G5&lt;=3,"Piloto",IF(G5&lt;=9,"Early Adopters",IF(G5&lt;=18,"Scale inicial","Scale maduro")))</f>
        <v>Early Adopters</v>
      </c>
      <c r="H6" s="21" t="str">
        <f aca="false">IF(H5&lt;=3,"Piloto",IF(H5&lt;=9,"Early Adopters",IF(H5&lt;=18,"Scale inicial","Scale maduro")))</f>
        <v>Early Adopters</v>
      </c>
      <c r="I6" s="21" t="str">
        <f aca="false">IF(I5&lt;=3,"Piloto",IF(I5&lt;=9,"Early Adopters",IF(I5&lt;=18,"Scale inicial","Scale maduro")))</f>
        <v>Early Adopters</v>
      </c>
      <c r="J6" s="21" t="str">
        <f aca="false">IF(J5&lt;=3,"Piloto",IF(J5&lt;=9,"Early Adopters",IF(J5&lt;=18,"Scale inicial","Scale maduro")))</f>
        <v>Early Adopters</v>
      </c>
      <c r="K6" s="21" t="str">
        <f aca="false">IF(K5&lt;=3,"Piloto",IF(K5&lt;=9,"Early Adopters",IF(K5&lt;=18,"Scale inicial","Scale maduro")))</f>
        <v>Early Adopters</v>
      </c>
      <c r="L6" s="22" t="str">
        <f aca="false">IF(L5&lt;=3,"Piloto",IF(L5&lt;=9,"Early Adopters",IF(L5&lt;=18,"Scale inicial","Scale maduro")))</f>
        <v>Scale inicial</v>
      </c>
      <c r="M6" s="22" t="str">
        <f aca="false">IF(M5&lt;=3,"Piloto",IF(M5&lt;=9,"Early Adopters",IF(M5&lt;=18,"Scale inicial","Scale maduro")))</f>
        <v>Scale inicial</v>
      </c>
      <c r="N6" s="22" t="str">
        <f aca="false">IF(N5&lt;=3,"Piloto",IF(N5&lt;=9,"Early Adopters",IF(N5&lt;=18,"Scale inicial","Scale maduro")))</f>
        <v>Scale inicial</v>
      </c>
      <c r="O6" s="22" t="str">
        <f aca="false">IF(O5&lt;=3,"Piloto",IF(O5&lt;=9,"Early Adopters",IF(O5&lt;=18,"Scale inicial","Scale maduro")))</f>
        <v>Scale inicial</v>
      </c>
      <c r="P6" s="22" t="str">
        <f aca="false">IF(P5&lt;=3,"Piloto",IF(P5&lt;=9,"Early Adopters",IF(P5&lt;=18,"Scale inicial","Scale maduro")))</f>
        <v>Scale inicial</v>
      </c>
      <c r="Q6" s="22" t="str">
        <f aca="false">IF(Q5&lt;=3,"Piloto",IF(Q5&lt;=9,"Early Adopters",IF(Q5&lt;=18,"Scale inicial","Scale maduro")))</f>
        <v>Scale inicial</v>
      </c>
      <c r="R6" s="22" t="str">
        <f aca="false">IF(R5&lt;=3,"Piloto",IF(R5&lt;=9,"Early Adopters",IF(R5&lt;=18,"Scale inicial","Scale maduro")))</f>
        <v>Scale inicial</v>
      </c>
      <c r="S6" s="22" t="str">
        <f aca="false">IF(S5&lt;=3,"Piloto",IF(S5&lt;=9,"Early Adopters",IF(S5&lt;=18,"Scale inicial","Scale maduro")))</f>
        <v>Scale inicial</v>
      </c>
      <c r="T6" s="22" t="str">
        <f aca="false">IF(T5&lt;=3,"Piloto",IF(T5&lt;=9,"Early Adopters",IF(T5&lt;=18,"Scale inicial","Scale maduro")))</f>
        <v>Scale inicial</v>
      </c>
      <c r="U6" s="22" t="str">
        <f aca="false">IF(U5&lt;=3,"Piloto",IF(U5&lt;=9,"Early Adopters",IF(U5&lt;=18,"Scale inicial","Scale maduro")))</f>
        <v>Scale maduro</v>
      </c>
      <c r="V6" s="22" t="str">
        <f aca="false">IF(V5&lt;=3,"Piloto",IF(V5&lt;=9,"Early Adopters",IF(V5&lt;=18,"Scale inicial","Scale maduro")))</f>
        <v>Scale maduro</v>
      </c>
      <c r="W6" s="22" t="str">
        <f aca="false">IF(W5&lt;=3,"Piloto",IF(W5&lt;=9,"Early Adopters",IF(W5&lt;=18,"Scale inicial","Scale maduro")))</f>
        <v>Scale maduro</v>
      </c>
      <c r="X6" s="22" t="str">
        <f aca="false">IF(X5&lt;=3,"Piloto",IF(X5&lt;=9,"Early Adopters",IF(X5&lt;=18,"Scale inicial","Scale maduro")))</f>
        <v>Scale maduro</v>
      </c>
      <c r="Y6" s="22" t="str">
        <f aca="false">IF(Y5&lt;=3,"Piloto",IF(Y5&lt;=9,"Early Adopters",IF(Y5&lt;=18,"Scale inicial","Scale maduro")))</f>
        <v>Scale maduro</v>
      </c>
      <c r="Z6" s="22" t="str">
        <f aca="false">IF(Z5&lt;=3,"Piloto",IF(Z5&lt;=9,"Early Adopters",IF(Z5&lt;=18,"Scale inicial","Scale maduro")))</f>
        <v>Scale maduro</v>
      </c>
    </row>
    <row r="7" customFormat="false" ht="15" hidden="false" customHeight="false" outlineLevel="0" collapsed="false">
      <c r="B7" s="18" t="s">
        <v>95</v>
      </c>
      <c r="C7" s="23" t="n">
        <v>0</v>
      </c>
      <c r="D7" s="23" t="n">
        <v>0</v>
      </c>
      <c r="E7" s="23" t="n">
        <v>0</v>
      </c>
      <c r="F7" s="23" t="n">
        <v>0</v>
      </c>
      <c r="G7" s="23" t="n">
        <v>100</v>
      </c>
      <c r="H7" s="23" t="n">
        <v>50</v>
      </c>
      <c r="I7" s="23" t="n">
        <v>50</v>
      </c>
      <c r="J7" s="23" t="n">
        <v>100</v>
      </c>
      <c r="K7" s="23" t="n">
        <v>50</v>
      </c>
      <c r="L7" s="23" t="n">
        <v>100</v>
      </c>
      <c r="M7" s="23" t="n">
        <v>100</v>
      </c>
      <c r="N7" s="23" t="n">
        <v>100</v>
      </c>
      <c r="O7" s="23" t="n">
        <v>100</v>
      </c>
      <c r="P7" s="23" t="n">
        <v>100</v>
      </c>
      <c r="Q7" s="23" t="n">
        <v>100</v>
      </c>
      <c r="R7" s="23" t="n">
        <v>100</v>
      </c>
      <c r="S7" s="23" t="n">
        <v>100</v>
      </c>
      <c r="T7" s="23" t="n">
        <v>100</v>
      </c>
      <c r="U7" s="23" t="n">
        <v>100</v>
      </c>
      <c r="V7" s="23" t="n">
        <v>100</v>
      </c>
      <c r="W7" s="23" t="n">
        <v>100</v>
      </c>
      <c r="X7" s="23" t="n">
        <v>100</v>
      </c>
      <c r="Y7" s="23" t="n">
        <v>100</v>
      </c>
      <c r="Z7" s="23" t="n">
        <v>100</v>
      </c>
      <c r="AA7" s="24" t="n">
        <f aca="false">SUM(C7:Z7)</f>
        <v>1850</v>
      </c>
    </row>
    <row r="8" customFormat="false" ht="15" hidden="false" customHeight="false" outlineLevel="0" collapsed="false">
      <c r="B8" s="18" t="s">
        <v>96</v>
      </c>
      <c r="C8" s="25" t="n">
        <f aca="false">C7*Premissas!$C$10</f>
        <v>0</v>
      </c>
      <c r="D8" s="25" t="n">
        <f aca="false">D7*Premissas!$C$10</f>
        <v>0</v>
      </c>
      <c r="E8" s="25" t="n">
        <f aca="false">E7*Premissas!$C$10</f>
        <v>0</v>
      </c>
      <c r="F8" s="25" t="n">
        <f aca="false">F7*Premissas!$C$10</f>
        <v>0</v>
      </c>
      <c r="G8" s="25" t="n">
        <f aca="false">G7*Premissas!$C$10</f>
        <v>20</v>
      </c>
      <c r="H8" s="25" t="n">
        <f aca="false">H7*Premissas!$C$10</f>
        <v>10</v>
      </c>
      <c r="I8" s="25" t="n">
        <f aca="false">I7*Premissas!$C$10</f>
        <v>10</v>
      </c>
      <c r="J8" s="25" t="n">
        <f aca="false">J7*Premissas!$C$10</f>
        <v>20</v>
      </c>
      <c r="K8" s="25" t="n">
        <f aca="false">K7*Premissas!$C$10</f>
        <v>10</v>
      </c>
      <c r="L8" s="25" t="n">
        <f aca="false">L7*Premissas!$C$10</f>
        <v>20</v>
      </c>
      <c r="M8" s="25" t="n">
        <f aca="false">M7*Premissas!$C$10</f>
        <v>20</v>
      </c>
      <c r="N8" s="25" t="n">
        <f aca="false">N7*Premissas!$C$10</f>
        <v>20</v>
      </c>
      <c r="O8" s="25" t="n">
        <f aca="false">O7*Premissas!$C$10</f>
        <v>20</v>
      </c>
      <c r="P8" s="25" t="n">
        <f aca="false">P7*Premissas!$C$10</f>
        <v>20</v>
      </c>
      <c r="Q8" s="25" t="n">
        <f aca="false">Q7*Premissas!$C$10</f>
        <v>20</v>
      </c>
      <c r="R8" s="25" t="n">
        <f aca="false">R7*Premissas!$C$10</f>
        <v>20</v>
      </c>
      <c r="S8" s="25" t="n">
        <f aca="false">S7*Premissas!$C$10</f>
        <v>20</v>
      </c>
      <c r="T8" s="25" t="n">
        <f aca="false">T7*Premissas!$C$10</f>
        <v>20</v>
      </c>
      <c r="U8" s="25" t="n">
        <f aca="false">U7*Premissas!$C$10</f>
        <v>20</v>
      </c>
      <c r="V8" s="25" t="n">
        <f aca="false">V7*Premissas!$C$10</f>
        <v>20</v>
      </c>
      <c r="W8" s="25" t="n">
        <f aca="false">W7*Premissas!$C$10</f>
        <v>20</v>
      </c>
      <c r="X8" s="25" t="n">
        <f aca="false">X7*Premissas!$C$10</f>
        <v>20</v>
      </c>
      <c r="Y8" s="25" t="n">
        <f aca="false">Y7*Premissas!$C$10</f>
        <v>20</v>
      </c>
      <c r="Z8" s="25" t="n">
        <f aca="false">Z7*Premissas!$C$10</f>
        <v>20</v>
      </c>
      <c r="AA8" s="26" t="n">
        <f aca="false">SUM(C8:Z8)</f>
        <v>370</v>
      </c>
    </row>
    <row r="9" customFormat="false" ht="15" hidden="false" customHeight="false" outlineLevel="0" collapsed="false">
      <c r="B9" s="18" t="s">
        <v>97</v>
      </c>
      <c r="C9" s="25" t="n">
        <f aca="false">C8*Premissas!$C$11</f>
        <v>0</v>
      </c>
      <c r="D9" s="25" t="n">
        <f aca="false">D8*Premissas!$C$11</f>
        <v>0</v>
      </c>
      <c r="E9" s="25" t="n">
        <f aca="false">E8*Premissas!$C$11</f>
        <v>0</v>
      </c>
      <c r="F9" s="25" t="n">
        <f aca="false">F8*Premissas!$C$11</f>
        <v>0</v>
      </c>
      <c r="G9" s="25" t="n">
        <f aca="false">G8*Premissas!$C$11</f>
        <v>8</v>
      </c>
      <c r="H9" s="25" t="n">
        <f aca="false">H8*Premissas!$C$11</f>
        <v>4</v>
      </c>
      <c r="I9" s="25" t="n">
        <f aca="false">I8*Premissas!$C$11</f>
        <v>4</v>
      </c>
      <c r="J9" s="25" t="n">
        <f aca="false">J8*Premissas!$C$11</f>
        <v>8</v>
      </c>
      <c r="K9" s="25" t="n">
        <f aca="false">K8*Premissas!$C$11</f>
        <v>4</v>
      </c>
      <c r="L9" s="25" t="n">
        <f aca="false">L8*Premissas!$C$11</f>
        <v>8</v>
      </c>
      <c r="M9" s="25" t="n">
        <f aca="false">M8*Premissas!$C$11</f>
        <v>8</v>
      </c>
      <c r="N9" s="25" t="n">
        <f aca="false">N8*Premissas!$C$11</f>
        <v>8</v>
      </c>
      <c r="O9" s="25" t="n">
        <f aca="false">O8*Premissas!$C$11</f>
        <v>8</v>
      </c>
      <c r="P9" s="25" t="n">
        <f aca="false">P8*Premissas!$C$11</f>
        <v>8</v>
      </c>
      <c r="Q9" s="25" t="n">
        <f aca="false">Q8*Premissas!$C$11</f>
        <v>8</v>
      </c>
      <c r="R9" s="25" t="n">
        <f aca="false">R8*Premissas!$C$11</f>
        <v>8</v>
      </c>
      <c r="S9" s="25" t="n">
        <f aca="false">S8*Premissas!$C$11</f>
        <v>8</v>
      </c>
      <c r="T9" s="25" t="n">
        <f aca="false">T8*Premissas!$C$11</f>
        <v>8</v>
      </c>
      <c r="U9" s="25" t="n">
        <f aca="false">U8*Premissas!$C$11</f>
        <v>8</v>
      </c>
      <c r="V9" s="25" t="n">
        <f aca="false">V8*Premissas!$C$11</f>
        <v>8</v>
      </c>
      <c r="W9" s="25" t="n">
        <f aca="false">W8*Premissas!$C$11</f>
        <v>8</v>
      </c>
      <c r="X9" s="25" t="n">
        <f aca="false">X8*Premissas!$C$11</f>
        <v>8</v>
      </c>
      <c r="Y9" s="25" t="n">
        <f aca="false">Y8*Premissas!$C$11</f>
        <v>8</v>
      </c>
      <c r="Z9" s="25" t="n">
        <f aca="false">Z8*Premissas!$C$11</f>
        <v>8</v>
      </c>
      <c r="AA9" s="26" t="n">
        <f aca="false">SUM(C9:Z9)</f>
        <v>148</v>
      </c>
    </row>
    <row r="10" customFormat="false" ht="15" hidden="false" customHeight="false" outlineLevel="0" collapsed="false">
      <c r="B10" s="18" t="s">
        <v>98</v>
      </c>
      <c r="C10" s="25" t="n">
        <f aca="false">C9*Premissas!$C$12</f>
        <v>0</v>
      </c>
      <c r="D10" s="25" t="n">
        <f aca="false">D9*Premissas!$C$12</f>
        <v>0</v>
      </c>
      <c r="E10" s="25" t="n">
        <f aca="false">E9*Premissas!$C$12</f>
        <v>0</v>
      </c>
      <c r="F10" s="25" t="n">
        <f aca="false">F9*Premissas!$C$12</f>
        <v>0</v>
      </c>
      <c r="G10" s="25" t="n">
        <f aca="false">G9*Premissas!$C$12</f>
        <v>4</v>
      </c>
      <c r="H10" s="25" t="n">
        <f aca="false">H9*Premissas!$C$12</f>
        <v>2</v>
      </c>
      <c r="I10" s="25" t="n">
        <f aca="false">I9*Premissas!$C$12</f>
        <v>2</v>
      </c>
      <c r="J10" s="25" t="n">
        <f aca="false">J9*Premissas!$C$12</f>
        <v>4</v>
      </c>
      <c r="K10" s="25" t="n">
        <f aca="false">K9*Premissas!$C$12</f>
        <v>2</v>
      </c>
      <c r="L10" s="25" t="n">
        <f aca="false">L9*Premissas!$C$12</f>
        <v>4</v>
      </c>
      <c r="M10" s="25" t="n">
        <f aca="false">M9*Premissas!$C$12</f>
        <v>4</v>
      </c>
      <c r="N10" s="25" t="n">
        <f aca="false">N9*Premissas!$C$12</f>
        <v>4</v>
      </c>
      <c r="O10" s="25" t="n">
        <f aca="false">O9*Premissas!$C$12</f>
        <v>4</v>
      </c>
      <c r="P10" s="25" t="n">
        <f aca="false">P9*Premissas!$C$12</f>
        <v>4</v>
      </c>
      <c r="Q10" s="25" t="n">
        <f aca="false">Q9*Premissas!$C$12</f>
        <v>4</v>
      </c>
      <c r="R10" s="25" t="n">
        <f aca="false">R9*Premissas!$C$12</f>
        <v>4</v>
      </c>
      <c r="S10" s="25" t="n">
        <f aca="false">S9*Premissas!$C$12</f>
        <v>4</v>
      </c>
      <c r="T10" s="25" t="n">
        <f aca="false">T9*Premissas!$C$12</f>
        <v>4</v>
      </c>
      <c r="U10" s="25" t="n">
        <f aca="false">U9*Premissas!$C$12</f>
        <v>4</v>
      </c>
      <c r="V10" s="25" t="n">
        <f aca="false">V9*Premissas!$C$12</f>
        <v>4</v>
      </c>
      <c r="W10" s="25" t="n">
        <f aca="false">W9*Premissas!$C$12</f>
        <v>4</v>
      </c>
      <c r="X10" s="25" t="n">
        <f aca="false">X9*Premissas!$C$12</f>
        <v>4</v>
      </c>
      <c r="Y10" s="25" t="n">
        <f aca="false">Y9*Premissas!$C$12</f>
        <v>4</v>
      </c>
      <c r="Z10" s="25" t="n">
        <f aca="false">Z9*Premissas!$C$12</f>
        <v>4</v>
      </c>
      <c r="AA10" s="26" t="n">
        <f aca="false">SUM(C10:Z10)</f>
        <v>74</v>
      </c>
    </row>
    <row r="11" customFormat="false" ht="15" hidden="false" customHeight="false" outlineLevel="0" collapsed="false">
      <c r="B11" s="27" t="s">
        <v>99</v>
      </c>
      <c r="C11" s="28" t="n">
        <f aca="false">ROUND(C10*Premissas!$C$13,0)</f>
        <v>0</v>
      </c>
      <c r="D11" s="28" t="n">
        <f aca="false">ROUND(D10*Premissas!$C$13,0)</f>
        <v>0</v>
      </c>
      <c r="E11" s="28" t="n">
        <f aca="false">ROUND(E10*Premissas!$C$13,0)</f>
        <v>0</v>
      </c>
      <c r="F11" s="28" t="n">
        <f aca="false">ROUND(F10*Premissas!$C$13,0)</f>
        <v>0</v>
      </c>
      <c r="G11" s="28" t="n">
        <f aca="false">ROUND(G10*Premissas!$C$13,0)</f>
        <v>2</v>
      </c>
      <c r="H11" s="28" t="n">
        <f aca="false">ROUND(H10*Premissas!$C$13,0)</f>
        <v>1</v>
      </c>
      <c r="I11" s="28" t="n">
        <f aca="false">ROUND(I10*Premissas!$C$13,0)</f>
        <v>1</v>
      </c>
      <c r="J11" s="28" t="n">
        <f aca="false">ROUND(J10*Premissas!$C$13,0)</f>
        <v>2</v>
      </c>
      <c r="K11" s="28" t="n">
        <f aca="false">ROUND(K10*Premissas!$C$13,0)</f>
        <v>1</v>
      </c>
      <c r="L11" s="28" t="n">
        <f aca="false">ROUND(L10*Premissas!$C$13,0)</f>
        <v>2</v>
      </c>
      <c r="M11" s="28" t="n">
        <f aca="false">ROUND(M10*Premissas!$C$13,0)</f>
        <v>2</v>
      </c>
      <c r="N11" s="28" t="n">
        <f aca="false">ROUND(N10*Premissas!$C$13,0)</f>
        <v>2</v>
      </c>
      <c r="O11" s="28" t="n">
        <f aca="false">ROUND(O10*Premissas!$C$13,0)</f>
        <v>2</v>
      </c>
      <c r="P11" s="28" t="n">
        <f aca="false">ROUND(P10*Premissas!$C$13,0)</f>
        <v>2</v>
      </c>
      <c r="Q11" s="28" t="n">
        <f aca="false">ROUND(Q10*Premissas!$C$13,0)</f>
        <v>2</v>
      </c>
      <c r="R11" s="28" t="n">
        <f aca="false">ROUND(R10*Premissas!$C$13,0)</f>
        <v>2</v>
      </c>
      <c r="S11" s="28" t="n">
        <f aca="false">ROUND(S10*Premissas!$C$13,0)</f>
        <v>2</v>
      </c>
      <c r="T11" s="28" t="n">
        <f aca="false">ROUND(T10*Premissas!$C$13,0)</f>
        <v>2</v>
      </c>
      <c r="U11" s="28" t="n">
        <f aca="false">ROUND(U10*Premissas!$C$13,0)</f>
        <v>2</v>
      </c>
      <c r="V11" s="28" t="n">
        <f aca="false">ROUND(V10*Premissas!$C$13,0)</f>
        <v>2</v>
      </c>
      <c r="W11" s="28" t="n">
        <f aca="false">ROUND(W10*Premissas!$C$13,0)</f>
        <v>2</v>
      </c>
      <c r="X11" s="28" t="n">
        <f aca="false">ROUND(X10*Premissas!$C$13,0)</f>
        <v>2</v>
      </c>
      <c r="Y11" s="28" t="n">
        <f aca="false">ROUND(Y10*Premissas!$C$13,0)</f>
        <v>2</v>
      </c>
      <c r="Z11" s="28" t="n">
        <f aca="false">ROUND(Z10*Premissas!$C$13,0)</f>
        <v>2</v>
      </c>
      <c r="AA11" s="29" t="n">
        <f aca="false">SUM(C11:Z11)</f>
        <v>37</v>
      </c>
    </row>
    <row r="12" customFormat="false" ht="15" hidden="false" customHeight="false" outlineLevel="0" collapsed="false">
      <c r="B12" s="18" t="s">
        <v>100</v>
      </c>
      <c r="C12" s="30" t="n">
        <f aca="false">IF(C5=Premissas!$C$26,Premissas!$C$25,0)</f>
        <v>0</v>
      </c>
      <c r="D12" s="30" t="n">
        <f aca="false">IF(D5=Premissas!$C$26,Premissas!$C$25,0)</f>
        <v>0</v>
      </c>
      <c r="E12" s="30" t="n">
        <f aca="false">IF(E5=Premissas!$C$26,Premissas!$C$25,0)</f>
        <v>0</v>
      </c>
      <c r="F12" s="30" t="n">
        <f aca="false">IF(F5=Premissas!$C$26,Premissas!$C$25,0)</f>
        <v>3</v>
      </c>
      <c r="G12" s="30" t="n">
        <f aca="false">IF(G5=Premissas!$C$26,Premissas!$C$25,0)</f>
        <v>0</v>
      </c>
      <c r="H12" s="30" t="n">
        <f aca="false">IF(H5=Premissas!$C$26,Premissas!$C$25,0)</f>
        <v>0</v>
      </c>
      <c r="I12" s="30" t="n">
        <f aca="false">IF(I5=Premissas!$C$26,Premissas!$C$25,0)</f>
        <v>0</v>
      </c>
      <c r="J12" s="30" t="n">
        <f aca="false">IF(J5=Premissas!$C$26,Premissas!$C$25,0)</f>
        <v>0</v>
      </c>
      <c r="K12" s="30" t="n">
        <f aca="false">IF(K5=Premissas!$C$26,Premissas!$C$25,0)</f>
        <v>0</v>
      </c>
      <c r="L12" s="30" t="n">
        <f aca="false">IF(L5=Premissas!$C$26,Premissas!$C$25,0)</f>
        <v>0</v>
      </c>
      <c r="M12" s="30" t="n">
        <f aca="false">IF(M5=Premissas!$C$26,Premissas!$C$25,0)</f>
        <v>0</v>
      </c>
      <c r="N12" s="30" t="n">
        <f aca="false">IF(N5=Premissas!$C$26,Premissas!$C$25,0)</f>
        <v>0</v>
      </c>
      <c r="O12" s="30" t="n">
        <f aca="false">IF(O5=Premissas!$C$26,Premissas!$C$25,0)</f>
        <v>0</v>
      </c>
      <c r="P12" s="30" t="n">
        <f aca="false">IF(P5=Premissas!$C$26,Premissas!$C$25,0)</f>
        <v>0</v>
      </c>
      <c r="Q12" s="30" t="n">
        <f aca="false">IF(Q5=Premissas!$C$26,Premissas!$C$25,0)</f>
        <v>0</v>
      </c>
      <c r="R12" s="30" t="n">
        <f aca="false">IF(R5=Premissas!$C$26,Premissas!$C$25,0)</f>
        <v>0</v>
      </c>
      <c r="S12" s="30" t="n">
        <f aca="false">IF(S5=Premissas!$C$26,Premissas!$C$25,0)</f>
        <v>0</v>
      </c>
      <c r="T12" s="30" t="n">
        <f aca="false">IF(T5=Premissas!$C$26,Premissas!$C$25,0)</f>
        <v>0</v>
      </c>
      <c r="U12" s="30" t="n">
        <f aca="false">IF(U5=Premissas!$C$26,Premissas!$C$25,0)</f>
        <v>0</v>
      </c>
      <c r="V12" s="30" t="n">
        <f aca="false">IF(V5=Premissas!$C$26,Premissas!$C$25,0)</f>
        <v>0</v>
      </c>
      <c r="W12" s="30" t="n">
        <f aca="false">IF(W5=Premissas!$C$26,Premissas!$C$25,0)</f>
        <v>0</v>
      </c>
      <c r="X12" s="30" t="n">
        <f aca="false">IF(X5=Premissas!$C$26,Premissas!$C$25,0)</f>
        <v>0</v>
      </c>
      <c r="Y12" s="30" t="n">
        <f aca="false">IF(Y5=Premissas!$C$26,Premissas!$C$25,0)</f>
        <v>0</v>
      </c>
      <c r="Z12" s="30" t="n">
        <f aca="false">IF(Z5=Premissas!$C$26,Premissas!$C$25,0)</f>
        <v>0</v>
      </c>
      <c r="AA12" s="31" t="n">
        <f aca="false">SUM(C12:Z12)</f>
        <v>3</v>
      </c>
    </row>
    <row r="13" customFormat="false" ht="15" hidden="false" customHeight="false" outlineLevel="0" collapsed="false">
      <c r="B13" s="27" t="s">
        <v>101</v>
      </c>
      <c r="C13" s="28" t="n">
        <f aca="false">C11+C12</f>
        <v>0</v>
      </c>
      <c r="D13" s="28" t="n">
        <f aca="false">D11+D12</f>
        <v>0</v>
      </c>
      <c r="E13" s="28" t="n">
        <f aca="false">E11+E12</f>
        <v>0</v>
      </c>
      <c r="F13" s="28" t="n">
        <f aca="false">F11+F12</f>
        <v>3</v>
      </c>
      <c r="G13" s="28" t="n">
        <f aca="false">G11+G12</f>
        <v>2</v>
      </c>
      <c r="H13" s="28" t="n">
        <f aca="false">H11+H12</f>
        <v>1</v>
      </c>
      <c r="I13" s="28" t="n">
        <f aca="false">I11+I12</f>
        <v>1</v>
      </c>
      <c r="J13" s="28" t="n">
        <f aca="false">J11+J12</f>
        <v>2</v>
      </c>
      <c r="K13" s="28" t="n">
        <f aca="false">K11+K12</f>
        <v>1</v>
      </c>
      <c r="L13" s="28" t="n">
        <f aca="false">L11+L12</f>
        <v>2</v>
      </c>
      <c r="M13" s="28" t="n">
        <f aca="false">M11+M12</f>
        <v>2</v>
      </c>
      <c r="N13" s="28" t="n">
        <f aca="false">N11+N12</f>
        <v>2</v>
      </c>
      <c r="O13" s="28" t="n">
        <f aca="false">O11+O12</f>
        <v>2</v>
      </c>
      <c r="P13" s="28" t="n">
        <f aca="false">P11+P12</f>
        <v>2</v>
      </c>
      <c r="Q13" s="28" t="n">
        <f aca="false">Q11+Q12</f>
        <v>2</v>
      </c>
      <c r="R13" s="28" t="n">
        <f aca="false">R11+R12</f>
        <v>2</v>
      </c>
      <c r="S13" s="28" t="n">
        <f aca="false">S11+S12</f>
        <v>2</v>
      </c>
      <c r="T13" s="28" t="n">
        <f aca="false">T11+T12</f>
        <v>2</v>
      </c>
      <c r="U13" s="28" t="n">
        <f aca="false">U11+U12</f>
        <v>2</v>
      </c>
      <c r="V13" s="28" t="n">
        <f aca="false">V11+V12</f>
        <v>2</v>
      </c>
      <c r="W13" s="28" t="n">
        <f aca="false">W11+W12</f>
        <v>2</v>
      </c>
      <c r="X13" s="28" t="n">
        <f aca="false">X11+X12</f>
        <v>2</v>
      </c>
      <c r="Y13" s="28" t="n">
        <f aca="false">Y11+Y12</f>
        <v>2</v>
      </c>
      <c r="Z13" s="28" t="n">
        <f aca="false">Z11+Z12</f>
        <v>2</v>
      </c>
      <c r="AA13" s="29" t="n">
        <f aca="false">SUM(C13:Z13)</f>
        <v>40</v>
      </c>
    </row>
    <row r="14" customFormat="false" ht="15" hidden="false" customHeight="false" outlineLevel="0" collapsed="false">
      <c r="B14" s="27" t="s">
        <v>102</v>
      </c>
      <c r="C14" s="28" t="n">
        <f aca="false">C13</f>
        <v>0</v>
      </c>
      <c r="D14" s="28" t="n">
        <f aca="false">C14+D13</f>
        <v>0</v>
      </c>
      <c r="E14" s="28" t="n">
        <f aca="false">D14+E13</f>
        <v>0</v>
      </c>
      <c r="F14" s="28" t="n">
        <f aca="false">E14+F13</f>
        <v>3</v>
      </c>
      <c r="G14" s="28" t="n">
        <f aca="false">F14+G13</f>
        <v>5</v>
      </c>
      <c r="H14" s="28" t="n">
        <f aca="false">G14+H13</f>
        <v>6</v>
      </c>
      <c r="I14" s="28" t="n">
        <f aca="false">H14+I13</f>
        <v>7</v>
      </c>
      <c r="J14" s="28" t="n">
        <f aca="false">I14+J13</f>
        <v>9</v>
      </c>
      <c r="K14" s="28" t="n">
        <f aca="false">J14+K13</f>
        <v>10</v>
      </c>
      <c r="L14" s="28" t="n">
        <f aca="false">K14+L13</f>
        <v>12</v>
      </c>
      <c r="M14" s="28" t="n">
        <f aca="false">L14+M13</f>
        <v>14</v>
      </c>
      <c r="N14" s="28" t="n">
        <f aca="false">M14+N13</f>
        <v>16</v>
      </c>
      <c r="O14" s="28" t="n">
        <f aca="false">N14+O13</f>
        <v>18</v>
      </c>
      <c r="P14" s="28" t="n">
        <f aca="false">O14+P13</f>
        <v>20</v>
      </c>
      <c r="Q14" s="28" t="n">
        <f aca="false">P14+Q13</f>
        <v>22</v>
      </c>
      <c r="R14" s="28" t="n">
        <f aca="false">Q14+R13</f>
        <v>24</v>
      </c>
      <c r="S14" s="28" t="n">
        <f aca="false">R14+S13</f>
        <v>26</v>
      </c>
      <c r="T14" s="28" t="n">
        <f aca="false">S14+T13</f>
        <v>28</v>
      </c>
      <c r="U14" s="28" t="n">
        <f aca="false">T14+U13</f>
        <v>30</v>
      </c>
      <c r="V14" s="28" t="n">
        <f aca="false">U14+V13</f>
        <v>32</v>
      </c>
      <c r="W14" s="28" t="n">
        <f aca="false">V14+W13</f>
        <v>34</v>
      </c>
      <c r="X14" s="28" t="n">
        <f aca="false">W14+X13</f>
        <v>36</v>
      </c>
      <c r="Y14" s="28" t="n">
        <f aca="false">X14+Y13</f>
        <v>38</v>
      </c>
      <c r="Z14" s="28" t="n">
        <f aca="false">Y14+Z13</f>
        <v>40</v>
      </c>
      <c r="AA14" s="29" t="n">
        <f aca="false">Z14</f>
        <v>40</v>
      </c>
    </row>
    <row r="16" customFormat="false" ht="27.75" hidden="false" customHeight="true" outlineLevel="0" collapsed="false">
      <c r="B16" s="32" t="s">
        <v>103</v>
      </c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</row>
  </sheetData>
  <mergeCells count="3">
    <mergeCell ref="A1:AA1"/>
    <mergeCell ref="A2:AA2"/>
    <mergeCell ref="B16:T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26" min="3" style="0" width="9"/>
    <col collapsed="false" customWidth="true" hidden="false" outlineLevel="0" max="27" min="27" style="0" width="11"/>
    <col collapsed="false" customWidth="true" hidden="false" outlineLevel="0" max="28" min="28" style="0" width="3"/>
  </cols>
  <sheetData>
    <row r="1" customFormat="false" ht="25.5" hidden="false" customHeight="true" outlineLevel="0" collapsed="false">
      <c r="A1" s="1" t="s">
        <v>104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true" outlineLevel="0" collapsed="false">
      <c r="A2" s="2" t="s">
        <v>105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5.75" hidden="false" customHeight="true" outlineLevel="0" collapsed="false">
      <c r="B4" s="16" t="s">
        <v>67</v>
      </c>
      <c r="C4" s="17" t="s">
        <v>68</v>
      </c>
      <c r="D4" s="17" t="s">
        <v>69</v>
      </c>
      <c r="E4" s="17" t="s">
        <v>70</v>
      </c>
      <c r="F4" s="17" t="s">
        <v>71</v>
      </c>
      <c r="G4" s="17" t="s">
        <v>72</v>
      </c>
      <c r="H4" s="17" t="s">
        <v>73</v>
      </c>
      <c r="I4" s="17" t="s">
        <v>74</v>
      </c>
      <c r="J4" s="17" t="s">
        <v>75</v>
      </c>
      <c r="K4" s="17" t="s">
        <v>76</v>
      </c>
      <c r="L4" s="17" t="s">
        <v>77</v>
      </c>
      <c r="M4" s="17" t="s">
        <v>78</v>
      </c>
      <c r="N4" s="17" t="s">
        <v>79</v>
      </c>
      <c r="O4" s="17" t="s">
        <v>80</v>
      </c>
      <c r="P4" s="17" t="s">
        <v>81</v>
      </c>
      <c r="Q4" s="17" t="s">
        <v>82</v>
      </c>
      <c r="R4" s="17" t="s">
        <v>83</v>
      </c>
      <c r="S4" s="17" t="s">
        <v>84</v>
      </c>
      <c r="T4" s="17" t="s">
        <v>85</v>
      </c>
      <c r="U4" s="17" t="s">
        <v>86</v>
      </c>
      <c r="V4" s="17" t="s">
        <v>87</v>
      </c>
      <c r="W4" s="17" t="s">
        <v>88</v>
      </c>
      <c r="X4" s="17" t="s">
        <v>89</v>
      </c>
      <c r="Y4" s="17" t="s">
        <v>90</v>
      </c>
      <c r="Z4" s="17" t="s">
        <v>91</v>
      </c>
      <c r="AA4" s="16" t="s">
        <v>106</v>
      </c>
    </row>
    <row r="5" customFormat="false" ht="15" hidden="false" customHeight="false" outlineLevel="0" collapsed="false">
      <c r="B5" s="18" t="s">
        <v>107</v>
      </c>
      <c r="C5" s="33" t="n">
        <f aca="false">'Funil de Vendas'!C14</f>
        <v>0</v>
      </c>
      <c r="D5" s="33" t="n">
        <f aca="false">'Funil de Vendas'!D14</f>
        <v>0</v>
      </c>
      <c r="E5" s="33" t="n">
        <f aca="false">'Funil de Vendas'!E14</f>
        <v>0</v>
      </c>
      <c r="F5" s="33" t="n">
        <f aca="false">'Funil de Vendas'!F14</f>
        <v>3</v>
      </c>
      <c r="G5" s="33" t="n">
        <f aca="false">'Funil de Vendas'!G14</f>
        <v>5</v>
      </c>
      <c r="H5" s="33" t="n">
        <f aca="false">'Funil de Vendas'!H14</f>
        <v>6</v>
      </c>
      <c r="I5" s="33" t="n">
        <f aca="false">'Funil de Vendas'!I14</f>
        <v>7</v>
      </c>
      <c r="J5" s="33" t="n">
        <f aca="false">'Funil de Vendas'!J14</f>
        <v>9</v>
      </c>
      <c r="K5" s="33" t="n">
        <f aca="false">'Funil de Vendas'!K14</f>
        <v>10</v>
      </c>
      <c r="L5" s="33" t="n">
        <f aca="false">'Funil de Vendas'!L14</f>
        <v>12</v>
      </c>
      <c r="M5" s="33" t="n">
        <f aca="false">'Funil de Vendas'!M14</f>
        <v>14</v>
      </c>
      <c r="N5" s="33" t="n">
        <f aca="false">'Funil de Vendas'!N14</f>
        <v>16</v>
      </c>
      <c r="O5" s="33" t="n">
        <f aca="false">'Funil de Vendas'!O14</f>
        <v>18</v>
      </c>
      <c r="P5" s="33" t="n">
        <f aca="false">'Funil de Vendas'!P14</f>
        <v>20</v>
      </c>
      <c r="Q5" s="33" t="n">
        <f aca="false">'Funil de Vendas'!Q14</f>
        <v>22</v>
      </c>
      <c r="R5" s="33" t="n">
        <f aca="false">'Funil de Vendas'!R14</f>
        <v>24</v>
      </c>
      <c r="S5" s="33" t="n">
        <f aca="false">'Funil de Vendas'!S14</f>
        <v>26</v>
      </c>
      <c r="T5" s="33" t="n">
        <f aca="false">'Funil de Vendas'!T14</f>
        <v>28</v>
      </c>
      <c r="U5" s="33" t="n">
        <f aca="false">'Funil de Vendas'!U14</f>
        <v>30</v>
      </c>
      <c r="V5" s="33" t="n">
        <f aca="false">'Funil de Vendas'!V14</f>
        <v>32</v>
      </c>
      <c r="W5" s="33" t="n">
        <f aca="false">'Funil de Vendas'!W14</f>
        <v>34</v>
      </c>
      <c r="X5" s="33" t="n">
        <f aca="false">'Funil de Vendas'!X14</f>
        <v>36</v>
      </c>
      <c r="Y5" s="33" t="n">
        <f aca="false">'Funil de Vendas'!Y14</f>
        <v>38</v>
      </c>
      <c r="Z5" s="33" t="n">
        <f aca="false">'Funil de Vendas'!Z14</f>
        <v>40</v>
      </c>
      <c r="AA5" s="31" t="n">
        <f aca="false">Z5</f>
        <v>40</v>
      </c>
    </row>
    <row r="6" customFormat="false" ht="15" hidden="false" customHeight="false" outlineLevel="0" collapsed="false">
      <c r="B6" s="27" t="s">
        <v>108</v>
      </c>
      <c r="C6" s="28" t="n">
        <f aca="false">C5*Premissas!$C$8</f>
        <v>0</v>
      </c>
      <c r="D6" s="28" t="n">
        <f aca="false">D5*Premissas!$C$8</f>
        <v>0</v>
      </c>
      <c r="E6" s="28" t="n">
        <f aca="false">E5*Premissas!$C$8</f>
        <v>0</v>
      </c>
      <c r="F6" s="28" t="n">
        <f aca="false">F5*Premissas!$C$8</f>
        <v>22500</v>
      </c>
      <c r="G6" s="28" t="n">
        <f aca="false">G5*Premissas!$C$8</f>
        <v>37500</v>
      </c>
      <c r="H6" s="28" t="n">
        <f aca="false">H5*Premissas!$C$8</f>
        <v>45000</v>
      </c>
      <c r="I6" s="28" t="n">
        <f aca="false">I5*Premissas!$C$8</f>
        <v>52500</v>
      </c>
      <c r="J6" s="28" t="n">
        <f aca="false">J5*Premissas!$C$8</f>
        <v>67500</v>
      </c>
      <c r="K6" s="28" t="n">
        <f aca="false">K5*Premissas!$C$8</f>
        <v>75000</v>
      </c>
      <c r="L6" s="28" t="n">
        <f aca="false">L5*Premissas!$C$8</f>
        <v>90000</v>
      </c>
      <c r="M6" s="28" t="n">
        <f aca="false">M5*Premissas!$C$8</f>
        <v>105000</v>
      </c>
      <c r="N6" s="28" t="n">
        <f aca="false">N5*Premissas!$C$8</f>
        <v>120000</v>
      </c>
      <c r="O6" s="28" t="n">
        <f aca="false">O5*Premissas!$C$8</f>
        <v>135000</v>
      </c>
      <c r="P6" s="28" t="n">
        <f aca="false">P5*Premissas!$C$8</f>
        <v>150000</v>
      </c>
      <c r="Q6" s="28" t="n">
        <f aca="false">Q5*Premissas!$C$8</f>
        <v>165000</v>
      </c>
      <c r="R6" s="28" t="n">
        <f aca="false">R5*Premissas!$C$8</f>
        <v>180000</v>
      </c>
      <c r="S6" s="28" t="n">
        <f aca="false">S5*Premissas!$C$8</f>
        <v>195000</v>
      </c>
      <c r="T6" s="28" t="n">
        <f aca="false">T5*Premissas!$C$8</f>
        <v>210000</v>
      </c>
      <c r="U6" s="28" t="n">
        <f aca="false">U5*Premissas!$C$8</f>
        <v>225000</v>
      </c>
      <c r="V6" s="28" t="n">
        <f aca="false">V5*Premissas!$C$8</f>
        <v>240000</v>
      </c>
      <c r="W6" s="28" t="n">
        <f aca="false">W5*Premissas!$C$8</f>
        <v>255000</v>
      </c>
      <c r="X6" s="28" t="n">
        <f aca="false">X5*Premissas!$C$8</f>
        <v>270000</v>
      </c>
      <c r="Y6" s="28" t="n">
        <f aca="false">Y5*Premissas!$C$8</f>
        <v>285000</v>
      </c>
      <c r="Z6" s="28" t="n">
        <f aca="false">Z5*Premissas!$C$8</f>
        <v>300000</v>
      </c>
      <c r="AA6" s="29" t="n">
        <f aca="false">Z6</f>
        <v>300000</v>
      </c>
    </row>
    <row r="7" customFormat="false" ht="15" hidden="false" customHeight="false" outlineLevel="0" collapsed="false">
      <c r="B7" s="18" t="s">
        <v>109</v>
      </c>
      <c r="C7" s="30" t="n">
        <f aca="false">C6*12</f>
        <v>0</v>
      </c>
      <c r="D7" s="30" t="n">
        <f aca="false">D6*12</f>
        <v>0</v>
      </c>
      <c r="E7" s="30" t="n">
        <f aca="false">E6*12</f>
        <v>0</v>
      </c>
      <c r="F7" s="30" t="n">
        <f aca="false">F6*12</f>
        <v>270000</v>
      </c>
      <c r="G7" s="30" t="n">
        <f aca="false">G6*12</f>
        <v>450000</v>
      </c>
      <c r="H7" s="30" t="n">
        <f aca="false">H6*12</f>
        <v>540000</v>
      </c>
      <c r="I7" s="30" t="n">
        <f aca="false">I6*12</f>
        <v>630000</v>
      </c>
      <c r="J7" s="30" t="n">
        <f aca="false">J6*12</f>
        <v>810000</v>
      </c>
      <c r="K7" s="30" t="n">
        <f aca="false">K6*12</f>
        <v>900000</v>
      </c>
      <c r="L7" s="30" t="n">
        <f aca="false">L6*12</f>
        <v>1080000</v>
      </c>
      <c r="M7" s="30" t="n">
        <f aca="false">M6*12</f>
        <v>1260000</v>
      </c>
      <c r="N7" s="30" t="n">
        <f aca="false">N6*12</f>
        <v>1440000</v>
      </c>
      <c r="O7" s="30" t="n">
        <f aca="false">O6*12</f>
        <v>1620000</v>
      </c>
      <c r="P7" s="30" t="n">
        <f aca="false">P6*12</f>
        <v>1800000</v>
      </c>
      <c r="Q7" s="30" t="n">
        <f aca="false">Q6*12</f>
        <v>1980000</v>
      </c>
      <c r="R7" s="30" t="n">
        <f aca="false">R6*12</f>
        <v>2160000</v>
      </c>
      <c r="S7" s="30" t="n">
        <f aca="false">S6*12</f>
        <v>2340000</v>
      </c>
      <c r="T7" s="30" t="n">
        <f aca="false">T6*12</f>
        <v>2520000</v>
      </c>
      <c r="U7" s="30" t="n">
        <f aca="false">U6*12</f>
        <v>2700000</v>
      </c>
      <c r="V7" s="30" t="n">
        <f aca="false">V6*12</f>
        <v>2880000</v>
      </c>
      <c r="W7" s="30" t="n">
        <f aca="false">W6*12</f>
        <v>3060000</v>
      </c>
      <c r="X7" s="30" t="n">
        <f aca="false">X6*12</f>
        <v>3240000</v>
      </c>
      <c r="Y7" s="30" t="n">
        <f aca="false">Y6*12</f>
        <v>3420000</v>
      </c>
      <c r="Z7" s="30" t="n">
        <f aca="false">Z6*12</f>
        <v>3600000</v>
      </c>
      <c r="AA7" s="31" t="n">
        <f aca="false">Z7</f>
        <v>3600000</v>
      </c>
    </row>
    <row r="9" customFormat="false" ht="15" hidden="false" customHeight="false" outlineLevel="0" collapsed="false">
      <c r="B9" s="34" t="s">
        <v>110</v>
      </c>
      <c r="C9" s="34"/>
      <c r="D9" s="34"/>
      <c r="E9" s="34"/>
      <c r="F9" s="34"/>
      <c r="G9" s="34"/>
      <c r="H9" s="34"/>
      <c r="I9" s="34"/>
      <c r="J9" s="34"/>
    </row>
    <row r="10" customFormat="false" ht="23.85" hidden="false" customHeight="false" outlineLevel="0" collapsed="false">
      <c r="B10" s="35" t="s">
        <v>111</v>
      </c>
      <c r="C10" s="35" t="s">
        <v>112</v>
      </c>
      <c r="D10" s="35" t="s">
        <v>113</v>
      </c>
      <c r="E10" s="35" t="s">
        <v>114</v>
      </c>
      <c r="F10" s="35" t="s">
        <v>115</v>
      </c>
      <c r="G10" s="35" t="s">
        <v>116</v>
      </c>
      <c r="H10" s="35" t="s">
        <v>117</v>
      </c>
    </row>
    <row r="11" customFormat="false" ht="15" hidden="false" customHeight="false" outlineLevel="0" collapsed="false">
      <c r="B11" s="36" t="s">
        <v>118</v>
      </c>
      <c r="C11" s="19" t="n">
        <v>3</v>
      </c>
      <c r="D11" s="19" t="n">
        <v>3</v>
      </c>
      <c r="E11" s="37" t="n">
        <f aca="false">Premissas!$C$25</f>
        <v>3</v>
      </c>
      <c r="F11" s="38" t="n">
        <v>0</v>
      </c>
      <c r="G11" s="30" t="n">
        <f aca="false">E6</f>
        <v>0</v>
      </c>
      <c r="H11" s="39" t="str">
        <f aca="false">IF(AND(D11=E11,F11=G11),"OK","Confira")</f>
        <v>OK</v>
      </c>
    </row>
    <row r="12" customFormat="false" ht="15" hidden="false" customHeight="false" outlineLevel="0" collapsed="false">
      <c r="B12" s="36" t="s">
        <v>119</v>
      </c>
      <c r="C12" s="19" t="n">
        <v>6</v>
      </c>
      <c r="D12" s="19" t="n">
        <v>6</v>
      </c>
      <c r="E12" s="30" t="n">
        <f aca="false">H5</f>
        <v>6</v>
      </c>
      <c r="F12" s="38" t="n">
        <v>45000</v>
      </c>
      <c r="G12" s="30" t="n">
        <f aca="false">H6</f>
        <v>45000</v>
      </c>
      <c r="H12" s="39" t="str">
        <f aca="false">IF(AND(D12=E12,F12=G12),"OK","Confira")</f>
        <v>OK</v>
      </c>
    </row>
    <row r="13" customFormat="false" ht="15" hidden="false" customHeight="false" outlineLevel="0" collapsed="false">
      <c r="B13" s="36" t="s">
        <v>120</v>
      </c>
      <c r="C13" s="19" t="n">
        <v>9</v>
      </c>
      <c r="D13" s="19" t="n">
        <v>10</v>
      </c>
      <c r="E13" s="30" t="n">
        <f aca="false">K5</f>
        <v>10</v>
      </c>
      <c r="F13" s="38" t="n">
        <v>75000</v>
      </c>
      <c r="G13" s="30" t="n">
        <f aca="false">K6</f>
        <v>75000</v>
      </c>
      <c r="H13" s="39" t="str">
        <f aca="false">IF(AND(D13=E13,F13=G13),"OK","Confira")</f>
        <v>OK</v>
      </c>
    </row>
    <row r="14" customFormat="false" ht="15" hidden="false" customHeight="false" outlineLevel="0" collapsed="false">
      <c r="B14" s="36" t="s">
        <v>121</v>
      </c>
      <c r="C14" s="19" t="n">
        <v>12</v>
      </c>
      <c r="D14" s="19" t="n">
        <v>16</v>
      </c>
      <c r="E14" s="30" t="n">
        <f aca="false">N5</f>
        <v>16</v>
      </c>
      <c r="F14" s="38" t="n">
        <v>120000</v>
      </c>
      <c r="G14" s="30" t="n">
        <f aca="false">N6</f>
        <v>120000</v>
      </c>
      <c r="H14" s="39" t="str">
        <f aca="false">IF(AND(D14=E14,F14=G14),"OK","Confira")</f>
        <v>OK</v>
      </c>
    </row>
    <row r="15" customFormat="false" ht="15" hidden="false" customHeight="false" outlineLevel="0" collapsed="false">
      <c r="B15" s="36" t="s">
        <v>119</v>
      </c>
      <c r="C15" s="19" t="n">
        <v>18</v>
      </c>
      <c r="D15" s="19" t="n">
        <v>28</v>
      </c>
      <c r="E15" s="30" t="n">
        <f aca="false">T5</f>
        <v>28</v>
      </c>
      <c r="F15" s="38" t="n">
        <v>210000</v>
      </c>
      <c r="G15" s="30" t="n">
        <f aca="false">T6</f>
        <v>210000</v>
      </c>
      <c r="H15" s="39" t="str">
        <f aca="false">IF(AND(D15=E15,F15=G15),"OK","Confira")</f>
        <v>OK</v>
      </c>
    </row>
    <row r="16" customFormat="false" ht="15" hidden="false" customHeight="false" outlineLevel="0" collapsed="false">
      <c r="B16" s="36" t="s">
        <v>122</v>
      </c>
      <c r="C16" s="19" t="n">
        <v>24</v>
      </c>
      <c r="D16" s="19" t="n">
        <v>40</v>
      </c>
      <c r="E16" s="30" t="n">
        <f aca="false">Z5</f>
        <v>40</v>
      </c>
      <c r="F16" s="38" t="n">
        <v>300000</v>
      </c>
      <c r="G16" s="30" t="n">
        <f aca="false">Z6</f>
        <v>300000</v>
      </c>
      <c r="H16" s="39" t="str">
        <f aca="false">IF(AND(D16=E16,F16=G16),"OK","Confira")</f>
        <v>OK</v>
      </c>
    </row>
    <row r="18" customFormat="false" ht="25.5" hidden="false" customHeight="true" outlineLevel="0" collapsed="false">
      <c r="B18" s="32" t="s">
        <v>123</v>
      </c>
      <c r="C18" s="32"/>
      <c r="D18" s="32"/>
      <c r="E18" s="32"/>
      <c r="F18" s="32"/>
      <c r="G18" s="32"/>
      <c r="H18" s="32"/>
    </row>
  </sheetData>
  <mergeCells count="4">
    <mergeCell ref="A1:AA1"/>
    <mergeCell ref="A2:AA2"/>
    <mergeCell ref="B9:J9"/>
    <mergeCell ref="B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26" min="3" style="0" width="9"/>
    <col collapsed="false" customWidth="true" hidden="false" outlineLevel="0" max="27" min="27" style="0" width="12"/>
    <col collapsed="false" customWidth="true" hidden="false" outlineLevel="0" max="28" min="28" style="0" width="3"/>
  </cols>
  <sheetData>
    <row r="1" customFormat="false" ht="25.5" hidden="false" customHeight="true" outlineLevel="0" collapsed="false">
      <c r="A1" s="1" t="s">
        <v>124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true" outlineLevel="0" collapsed="false">
      <c r="A2" s="2" t="s">
        <v>125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5.75" hidden="false" customHeight="true" outlineLevel="0" collapsed="false">
      <c r="B4" s="16" t="s">
        <v>67</v>
      </c>
      <c r="C4" s="17" t="s">
        <v>68</v>
      </c>
      <c r="D4" s="17" t="s">
        <v>69</v>
      </c>
      <c r="E4" s="17" t="s">
        <v>70</v>
      </c>
      <c r="F4" s="17" t="s">
        <v>71</v>
      </c>
      <c r="G4" s="17" t="s">
        <v>72</v>
      </c>
      <c r="H4" s="17" t="s">
        <v>73</v>
      </c>
      <c r="I4" s="17" t="s">
        <v>74</v>
      </c>
      <c r="J4" s="17" t="s">
        <v>75</v>
      </c>
      <c r="K4" s="17" t="s">
        <v>76</v>
      </c>
      <c r="L4" s="17" t="s">
        <v>77</v>
      </c>
      <c r="M4" s="17" t="s">
        <v>78</v>
      </c>
      <c r="N4" s="17" t="s">
        <v>79</v>
      </c>
      <c r="O4" s="17" t="s">
        <v>80</v>
      </c>
      <c r="P4" s="17" t="s">
        <v>81</v>
      </c>
      <c r="Q4" s="17" t="s">
        <v>82</v>
      </c>
      <c r="R4" s="17" t="s">
        <v>83</v>
      </c>
      <c r="S4" s="17" t="s">
        <v>84</v>
      </c>
      <c r="T4" s="17" t="s">
        <v>85</v>
      </c>
      <c r="U4" s="17" t="s">
        <v>86</v>
      </c>
      <c r="V4" s="17" t="s">
        <v>87</v>
      </c>
      <c r="W4" s="17" t="s">
        <v>88</v>
      </c>
      <c r="X4" s="17" t="s">
        <v>89</v>
      </c>
      <c r="Y4" s="17" t="s">
        <v>90</v>
      </c>
      <c r="Z4" s="17" t="s">
        <v>91</v>
      </c>
      <c r="AA4" s="16" t="s">
        <v>92</v>
      </c>
    </row>
    <row r="5" customFormat="false" ht="15" hidden="false" customHeight="false" outlineLevel="0" collapsed="false">
      <c r="B5" s="36" t="s">
        <v>93</v>
      </c>
      <c r="C5" s="19" t="n">
        <v>1</v>
      </c>
      <c r="D5" s="19" t="n">
        <v>2</v>
      </c>
      <c r="E5" s="19" t="n">
        <v>3</v>
      </c>
      <c r="F5" s="19" t="n">
        <v>4</v>
      </c>
      <c r="G5" s="19" t="n">
        <v>5</v>
      </c>
      <c r="H5" s="19" t="n">
        <v>6</v>
      </c>
      <c r="I5" s="19" t="n">
        <v>7</v>
      </c>
      <c r="J5" s="19" t="n">
        <v>8</v>
      </c>
      <c r="K5" s="19" t="n">
        <v>9</v>
      </c>
      <c r="L5" s="19" t="n">
        <v>10</v>
      </c>
      <c r="M5" s="19" t="n">
        <v>11</v>
      </c>
      <c r="N5" s="19" t="n">
        <v>12</v>
      </c>
      <c r="O5" s="19" t="n">
        <v>13</v>
      </c>
      <c r="P5" s="19" t="n">
        <v>14</v>
      </c>
      <c r="Q5" s="19" t="n">
        <v>15</v>
      </c>
      <c r="R5" s="19" t="n">
        <v>16</v>
      </c>
      <c r="S5" s="19" t="n">
        <v>17</v>
      </c>
      <c r="T5" s="19" t="n">
        <v>18</v>
      </c>
      <c r="U5" s="19" t="n">
        <v>19</v>
      </c>
      <c r="V5" s="19" t="n">
        <v>20</v>
      </c>
      <c r="W5" s="19" t="n">
        <v>21</v>
      </c>
      <c r="X5" s="19" t="n">
        <v>22</v>
      </c>
      <c r="Y5" s="19" t="n">
        <v>23</v>
      </c>
      <c r="Z5" s="19" t="n">
        <v>24</v>
      </c>
    </row>
    <row r="6" customFormat="false" ht="15" hidden="false" customHeight="false" outlineLevel="0" collapsed="false">
      <c r="B6" s="18" t="s">
        <v>126</v>
      </c>
      <c r="C6" s="30" t="n">
        <f aca="false">IF(C5&lt;=3,Premissas!$C$20,IF(C5&lt;=9,Premissas!$C$21,IF(C5&lt;=18,Premissas!$C$22,Premissas!$C$23)))</f>
        <v>2500</v>
      </c>
      <c r="D6" s="30" t="n">
        <f aca="false">IF(D5&lt;=3,Premissas!$C$20,IF(D5&lt;=9,Premissas!$C$21,IF(D5&lt;=18,Premissas!$C$22,Premissas!$C$23)))</f>
        <v>2500</v>
      </c>
      <c r="E6" s="30" t="n">
        <f aca="false">IF(E5&lt;=3,Premissas!$C$20,IF(E5&lt;=9,Premissas!$C$21,IF(E5&lt;=18,Premissas!$C$22,Premissas!$C$23)))</f>
        <v>2500</v>
      </c>
      <c r="F6" s="30" t="n">
        <f aca="false">IF(F5&lt;=3,Premissas!$C$20,IF(F5&lt;=9,Premissas!$C$21,IF(F5&lt;=18,Premissas!$C$22,Premissas!$C$23)))</f>
        <v>7000</v>
      </c>
      <c r="G6" s="30" t="n">
        <f aca="false">IF(G5&lt;=3,Premissas!$C$20,IF(G5&lt;=9,Premissas!$C$21,IF(G5&lt;=18,Premissas!$C$22,Premissas!$C$23)))</f>
        <v>7000</v>
      </c>
      <c r="H6" s="30" t="n">
        <f aca="false">IF(H5&lt;=3,Premissas!$C$20,IF(H5&lt;=9,Premissas!$C$21,IF(H5&lt;=18,Premissas!$C$22,Premissas!$C$23)))</f>
        <v>7000</v>
      </c>
      <c r="I6" s="30" t="n">
        <f aca="false">IF(I5&lt;=3,Premissas!$C$20,IF(I5&lt;=9,Premissas!$C$21,IF(I5&lt;=18,Premissas!$C$22,Premissas!$C$23)))</f>
        <v>7000</v>
      </c>
      <c r="J6" s="30" t="n">
        <f aca="false">IF(J5&lt;=3,Premissas!$C$20,IF(J5&lt;=9,Premissas!$C$21,IF(J5&lt;=18,Premissas!$C$22,Premissas!$C$23)))</f>
        <v>7000</v>
      </c>
      <c r="K6" s="30" t="n">
        <f aca="false">IF(K5&lt;=3,Premissas!$C$20,IF(K5&lt;=9,Premissas!$C$21,IF(K5&lt;=18,Premissas!$C$22,Premissas!$C$23)))</f>
        <v>7000</v>
      </c>
      <c r="L6" s="30" t="n">
        <f aca="false">IF(L5&lt;=3,Premissas!$C$20,IF(L5&lt;=9,Premissas!$C$21,IF(L5&lt;=18,Premissas!$C$22,Premissas!$C$23)))</f>
        <v>14000</v>
      </c>
      <c r="M6" s="30" t="n">
        <f aca="false">IF(M5&lt;=3,Premissas!$C$20,IF(M5&lt;=9,Premissas!$C$21,IF(M5&lt;=18,Premissas!$C$22,Premissas!$C$23)))</f>
        <v>14000</v>
      </c>
      <c r="N6" s="30" t="n">
        <f aca="false">IF(N5&lt;=3,Premissas!$C$20,IF(N5&lt;=9,Premissas!$C$21,IF(N5&lt;=18,Premissas!$C$22,Premissas!$C$23)))</f>
        <v>14000</v>
      </c>
      <c r="O6" s="30" t="n">
        <f aca="false">IF(O5&lt;=3,Premissas!$C$20,IF(O5&lt;=9,Premissas!$C$21,IF(O5&lt;=18,Premissas!$C$22,Premissas!$C$23)))</f>
        <v>14000</v>
      </c>
      <c r="P6" s="30" t="n">
        <f aca="false">IF(P5&lt;=3,Premissas!$C$20,IF(P5&lt;=9,Premissas!$C$21,IF(P5&lt;=18,Premissas!$C$22,Premissas!$C$23)))</f>
        <v>14000</v>
      </c>
      <c r="Q6" s="30" t="n">
        <f aca="false">IF(Q5&lt;=3,Premissas!$C$20,IF(Q5&lt;=9,Premissas!$C$21,IF(Q5&lt;=18,Premissas!$C$22,Premissas!$C$23)))</f>
        <v>14000</v>
      </c>
      <c r="R6" s="30" t="n">
        <f aca="false">IF(R5&lt;=3,Premissas!$C$20,IF(R5&lt;=9,Premissas!$C$21,IF(R5&lt;=18,Premissas!$C$22,Premissas!$C$23)))</f>
        <v>14000</v>
      </c>
      <c r="S6" s="30" t="n">
        <f aca="false">IF(S5&lt;=3,Premissas!$C$20,IF(S5&lt;=9,Premissas!$C$21,IF(S5&lt;=18,Premissas!$C$22,Premissas!$C$23)))</f>
        <v>14000</v>
      </c>
      <c r="T6" s="30" t="n">
        <f aca="false">IF(T5&lt;=3,Premissas!$C$20,IF(T5&lt;=9,Premissas!$C$21,IF(T5&lt;=18,Premissas!$C$22,Premissas!$C$23)))</f>
        <v>14000</v>
      </c>
      <c r="U6" s="30" t="n">
        <f aca="false">IF(U5&lt;=3,Premissas!$C$20,IF(U5&lt;=9,Premissas!$C$21,IF(U5&lt;=18,Premissas!$C$22,Premissas!$C$23)))</f>
        <v>19000</v>
      </c>
      <c r="V6" s="30" t="n">
        <f aca="false">IF(V5&lt;=3,Premissas!$C$20,IF(V5&lt;=9,Premissas!$C$21,IF(V5&lt;=18,Premissas!$C$22,Premissas!$C$23)))</f>
        <v>19000</v>
      </c>
      <c r="W6" s="30" t="n">
        <f aca="false">IF(W5&lt;=3,Premissas!$C$20,IF(W5&lt;=9,Premissas!$C$21,IF(W5&lt;=18,Premissas!$C$22,Premissas!$C$23)))</f>
        <v>19000</v>
      </c>
      <c r="X6" s="30" t="n">
        <f aca="false">IF(X5&lt;=3,Premissas!$C$20,IF(X5&lt;=9,Premissas!$C$21,IF(X5&lt;=18,Premissas!$C$22,Premissas!$C$23)))</f>
        <v>19000</v>
      </c>
      <c r="Y6" s="30" t="n">
        <f aca="false">IF(Y5&lt;=3,Premissas!$C$20,IF(Y5&lt;=9,Premissas!$C$21,IF(Y5&lt;=18,Premissas!$C$22,Premissas!$C$23)))</f>
        <v>19000</v>
      </c>
      <c r="Z6" s="30" t="n">
        <f aca="false">IF(Z5&lt;=3,Premissas!$C$20,IF(Z5&lt;=9,Premissas!$C$21,IF(Z5&lt;=18,Premissas!$C$22,Premissas!$C$23)))</f>
        <v>19000</v>
      </c>
      <c r="AA6" s="31" t="n">
        <f aca="false">SUM(C6:Z6)</f>
        <v>289500</v>
      </c>
    </row>
    <row r="7" customFormat="false" ht="15" hidden="false" customHeight="false" outlineLevel="0" collapsed="false">
      <c r="B7" s="36" t="s">
        <v>127</v>
      </c>
      <c r="C7" s="33" t="n">
        <f aca="false">'Funil de Vendas'!C11</f>
        <v>0</v>
      </c>
      <c r="D7" s="33" t="n">
        <f aca="false">'Funil de Vendas'!D11</f>
        <v>0</v>
      </c>
      <c r="E7" s="33" t="n">
        <f aca="false">'Funil de Vendas'!E11</f>
        <v>0</v>
      </c>
      <c r="F7" s="33" t="n">
        <f aca="false">'Funil de Vendas'!F11</f>
        <v>0</v>
      </c>
      <c r="G7" s="33" t="n">
        <f aca="false">'Funil de Vendas'!G11</f>
        <v>2</v>
      </c>
      <c r="H7" s="33" t="n">
        <f aca="false">'Funil de Vendas'!H11</f>
        <v>1</v>
      </c>
      <c r="I7" s="33" t="n">
        <f aca="false">'Funil de Vendas'!I11</f>
        <v>1</v>
      </c>
      <c r="J7" s="33" t="n">
        <f aca="false">'Funil de Vendas'!J11</f>
        <v>2</v>
      </c>
      <c r="K7" s="33" t="n">
        <f aca="false">'Funil de Vendas'!K11</f>
        <v>1</v>
      </c>
      <c r="L7" s="33" t="n">
        <f aca="false">'Funil de Vendas'!L11</f>
        <v>2</v>
      </c>
      <c r="M7" s="33" t="n">
        <f aca="false">'Funil de Vendas'!M11</f>
        <v>2</v>
      </c>
      <c r="N7" s="33" t="n">
        <f aca="false">'Funil de Vendas'!N11</f>
        <v>2</v>
      </c>
      <c r="O7" s="33" t="n">
        <f aca="false">'Funil de Vendas'!O11</f>
        <v>2</v>
      </c>
      <c r="P7" s="33" t="n">
        <f aca="false">'Funil de Vendas'!P11</f>
        <v>2</v>
      </c>
      <c r="Q7" s="33" t="n">
        <f aca="false">'Funil de Vendas'!Q11</f>
        <v>2</v>
      </c>
      <c r="R7" s="33" t="n">
        <f aca="false">'Funil de Vendas'!R11</f>
        <v>2</v>
      </c>
      <c r="S7" s="33" t="n">
        <f aca="false">'Funil de Vendas'!S11</f>
        <v>2</v>
      </c>
      <c r="T7" s="33" t="n">
        <f aca="false">'Funil de Vendas'!T11</f>
        <v>2</v>
      </c>
      <c r="U7" s="33" t="n">
        <f aca="false">'Funil de Vendas'!U11</f>
        <v>2</v>
      </c>
      <c r="V7" s="33" t="n">
        <f aca="false">'Funil de Vendas'!V11</f>
        <v>2</v>
      </c>
      <c r="W7" s="33" t="n">
        <f aca="false">'Funil de Vendas'!W11</f>
        <v>2</v>
      </c>
      <c r="X7" s="33" t="n">
        <f aca="false">'Funil de Vendas'!X11</f>
        <v>2</v>
      </c>
      <c r="Y7" s="33" t="n">
        <f aca="false">'Funil de Vendas'!Y11</f>
        <v>2</v>
      </c>
      <c r="Z7" s="33" t="n">
        <f aca="false">'Funil de Vendas'!Z11</f>
        <v>2</v>
      </c>
      <c r="AA7" s="31" t="n">
        <f aca="false">SUM(C7:Z7)</f>
        <v>37</v>
      </c>
    </row>
    <row r="8" customFormat="false" ht="15" hidden="false" customHeight="false" outlineLevel="0" collapsed="false">
      <c r="B8" s="18" t="s">
        <v>128</v>
      </c>
      <c r="C8" s="30" t="n">
        <f aca="false">C7*Premissas!$C$16</f>
        <v>0</v>
      </c>
      <c r="D8" s="30" t="n">
        <f aca="false">D7*Premissas!$C$16</f>
        <v>0</v>
      </c>
      <c r="E8" s="30" t="n">
        <f aca="false">E7*Premissas!$C$16</f>
        <v>0</v>
      </c>
      <c r="F8" s="30" t="n">
        <f aca="false">F7*Premissas!$C$16</f>
        <v>0</v>
      </c>
      <c r="G8" s="30" t="n">
        <f aca="false">G7*Premissas!$C$16</f>
        <v>6000</v>
      </c>
      <c r="H8" s="30" t="n">
        <f aca="false">H7*Premissas!$C$16</f>
        <v>3000</v>
      </c>
      <c r="I8" s="30" t="n">
        <f aca="false">I7*Premissas!$C$16</f>
        <v>3000</v>
      </c>
      <c r="J8" s="30" t="n">
        <f aca="false">J7*Premissas!$C$16</f>
        <v>6000</v>
      </c>
      <c r="K8" s="30" t="n">
        <f aca="false">K7*Premissas!$C$16</f>
        <v>3000</v>
      </c>
      <c r="L8" s="30" t="n">
        <f aca="false">L7*Premissas!$C$16</f>
        <v>6000</v>
      </c>
      <c r="M8" s="30" t="n">
        <f aca="false">M7*Premissas!$C$16</f>
        <v>6000</v>
      </c>
      <c r="N8" s="30" t="n">
        <f aca="false">N7*Premissas!$C$16</f>
        <v>6000</v>
      </c>
      <c r="O8" s="30" t="n">
        <f aca="false">O7*Premissas!$C$16</f>
        <v>6000</v>
      </c>
      <c r="P8" s="30" t="n">
        <f aca="false">P7*Premissas!$C$16</f>
        <v>6000</v>
      </c>
      <c r="Q8" s="30" t="n">
        <f aca="false">Q7*Premissas!$C$16</f>
        <v>6000</v>
      </c>
      <c r="R8" s="30" t="n">
        <f aca="false">R7*Premissas!$C$16</f>
        <v>6000</v>
      </c>
      <c r="S8" s="30" t="n">
        <f aca="false">S7*Premissas!$C$16</f>
        <v>6000</v>
      </c>
      <c r="T8" s="30" t="n">
        <f aca="false">T7*Premissas!$C$16</f>
        <v>6000</v>
      </c>
      <c r="U8" s="30" t="n">
        <f aca="false">U7*Premissas!$C$16</f>
        <v>6000</v>
      </c>
      <c r="V8" s="30" t="n">
        <f aca="false">V7*Premissas!$C$16</f>
        <v>6000</v>
      </c>
      <c r="W8" s="30" t="n">
        <f aca="false">W7*Premissas!$C$16</f>
        <v>6000</v>
      </c>
      <c r="X8" s="30" t="n">
        <f aca="false">X7*Premissas!$C$16</f>
        <v>6000</v>
      </c>
      <c r="Y8" s="30" t="n">
        <f aca="false">Y7*Premissas!$C$16</f>
        <v>6000</v>
      </c>
      <c r="Z8" s="30" t="n">
        <f aca="false">Z7*Premissas!$C$16</f>
        <v>6000</v>
      </c>
      <c r="AA8" s="31" t="n">
        <f aca="false">SUM(C8:Z8)</f>
        <v>111000</v>
      </c>
    </row>
    <row r="9" customFormat="false" ht="15" hidden="false" customHeight="false" outlineLevel="0" collapsed="false">
      <c r="B9" s="36" t="s">
        <v>129</v>
      </c>
      <c r="C9" s="30" t="n">
        <f aca="false">'Receita e Clientes'!C5*Premissas!$C$6</f>
        <v>0</v>
      </c>
      <c r="D9" s="30" t="n">
        <f aca="false">'Receita e Clientes'!D5*Premissas!$C$6</f>
        <v>0</v>
      </c>
      <c r="E9" s="30" t="n">
        <f aca="false">'Receita e Clientes'!E5*Premissas!$C$6</f>
        <v>0</v>
      </c>
      <c r="F9" s="30" t="n">
        <f aca="false">'Receita e Clientes'!F5*Premissas!$C$6</f>
        <v>900</v>
      </c>
      <c r="G9" s="30" t="n">
        <f aca="false">'Receita e Clientes'!G5*Premissas!$C$6</f>
        <v>1500</v>
      </c>
      <c r="H9" s="30" t="n">
        <f aca="false">'Receita e Clientes'!H5*Premissas!$C$6</f>
        <v>1800</v>
      </c>
      <c r="I9" s="30" t="n">
        <f aca="false">'Receita e Clientes'!I5*Premissas!$C$6</f>
        <v>2100</v>
      </c>
      <c r="J9" s="30" t="n">
        <f aca="false">'Receita e Clientes'!J5*Premissas!$C$6</f>
        <v>2700</v>
      </c>
      <c r="K9" s="30" t="n">
        <f aca="false">'Receita e Clientes'!K5*Premissas!$C$6</f>
        <v>3000</v>
      </c>
      <c r="L9" s="30" t="n">
        <f aca="false">'Receita e Clientes'!L5*Premissas!$C$6</f>
        <v>3600</v>
      </c>
      <c r="M9" s="30" t="n">
        <f aca="false">'Receita e Clientes'!M5*Premissas!$C$6</f>
        <v>4200</v>
      </c>
      <c r="N9" s="30" t="n">
        <f aca="false">'Receita e Clientes'!N5*Premissas!$C$6</f>
        <v>4800</v>
      </c>
      <c r="O9" s="30" t="n">
        <f aca="false">'Receita e Clientes'!O5*Premissas!$C$6</f>
        <v>5400</v>
      </c>
      <c r="P9" s="30" t="n">
        <f aca="false">'Receita e Clientes'!P5*Premissas!$C$6</f>
        <v>6000</v>
      </c>
      <c r="Q9" s="30" t="n">
        <f aca="false">'Receita e Clientes'!Q5*Premissas!$C$6</f>
        <v>6600</v>
      </c>
      <c r="R9" s="30" t="n">
        <f aca="false">'Receita e Clientes'!R5*Premissas!$C$6</f>
        <v>7200</v>
      </c>
      <c r="S9" s="30" t="n">
        <f aca="false">'Receita e Clientes'!S5*Premissas!$C$6</f>
        <v>7800</v>
      </c>
      <c r="T9" s="30" t="n">
        <f aca="false">'Receita e Clientes'!T5*Premissas!$C$6</f>
        <v>8400</v>
      </c>
      <c r="U9" s="30" t="n">
        <f aca="false">'Receita e Clientes'!U5*Premissas!$C$6</f>
        <v>9000</v>
      </c>
      <c r="V9" s="30" t="n">
        <f aca="false">'Receita e Clientes'!V5*Premissas!$C$6</f>
        <v>9600</v>
      </c>
      <c r="W9" s="30" t="n">
        <f aca="false">'Receita e Clientes'!W5*Premissas!$C$6</f>
        <v>10200</v>
      </c>
      <c r="X9" s="30" t="n">
        <f aca="false">'Receita e Clientes'!X5*Premissas!$C$6</f>
        <v>10800</v>
      </c>
      <c r="Y9" s="30" t="n">
        <f aca="false">'Receita e Clientes'!Y5*Premissas!$C$6</f>
        <v>11400</v>
      </c>
      <c r="Z9" s="30" t="n">
        <f aca="false">'Receita e Clientes'!Z5*Premissas!$C$6</f>
        <v>12000</v>
      </c>
      <c r="AA9" s="31" t="n">
        <f aca="false">Z9</f>
        <v>12000</v>
      </c>
    </row>
    <row r="10" customFormat="false" ht="15" hidden="false" customHeight="false" outlineLevel="0" collapsed="false">
      <c r="B10" s="18" t="s">
        <v>130</v>
      </c>
      <c r="C10" s="30" t="n">
        <f aca="false">C9*Premissas!$C$17</f>
        <v>0</v>
      </c>
      <c r="D10" s="30" t="n">
        <f aca="false">D9*Premissas!$C$17</f>
        <v>0</v>
      </c>
      <c r="E10" s="30" t="n">
        <f aca="false">E9*Premissas!$C$17</f>
        <v>0</v>
      </c>
      <c r="F10" s="30" t="n">
        <f aca="false">F9*Premissas!$C$17</f>
        <v>450</v>
      </c>
      <c r="G10" s="30" t="n">
        <f aca="false">G9*Premissas!$C$17</f>
        <v>750</v>
      </c>
      <c r="H10" s="30" t="n">
        <f aca="false">H9*Premissas!$C$17</f>
        <v>900</v>
      </c>
      <c r="I10" s="30" t="n">
        <f aca="false">I9*Premissas!$C$17</f>
        <v>1050</v>
      </c>
      <c r="J10" s="30" t="n">
        <f aca="false">J9*Premissas!$C$17</f>
        <v>1350</v>
      </c>
      <c r="K10" s="30" t="n">
        <f aca="false">K9*Premissas!$C$17</f>
        <v>1500</v>
      </c>
      <c r="L10" s="30" t="n">
        <f aca="false">L9*Premissas!$C$17</f>
        <v>1800</v>
      </c>
      <c r="M10" s="30" t="n">
        <f aca="false">M9*Premissas!$C$17</f>
        <v>2100</v>
      </c>
      <c r="N10" s="30" t="n">
        <f aca="false">N9*Premissas!$C$17</f>
        <v>2400</v>
      </c>
      <c r="O10" s="30" t="n">
        <f aca="false">O9*Premissas!$C$17</f>
        <v>2700</v>
      </c>
      <c r="P10" s="30" t="n">
        <f aca="false">P9*Premissas!$C$17</f>
        <v>3000</v>
      </c>
      <c r="Q10" s="30" t="n">
        <f aca="false">Q9*Premissas!$C$17</f>
        <v>3300</v>
      </c>
      <c r="R10" s="30" t="n">
        <f aca="false">R9*Premissas!$C$17</f>
        <v>3600</v>
      </c>
      <c r="S10" s="30" t="n">
        <f aca="false">S9*Premissas!$C$17</f>
        <v>3900</v>
      </c>
      <c r="T10" s="30" t="n">
        <f aca="false">T9*Premissas!$C$17</f>
        <v>4200</v>
      </c>
      <c r="U10" s="30" t="n">
        <f aca="false">U9*Premissas!$C$17</f>
        <v>4500</v>
      </c>
      <c r="V10" s="30" t="n">
        <f aca="false">V9*Premissas!$C$17</f>
        <v>4800</v>
      </c>
      <c r="W10" s="30" t="n">
        <f aca="false">W9*Premissas!$C$17</f>
        <v>5100</v>
      </c>
      <c r="X10" s="30" t="n">
        <f aca="false">X9*Premissas!$C$17</f>
        <v>5400</v>
      </c>
      <c r="Y10" s="30" t="n">
        <f aca="false">Y9*Premissas!$C$17</f>
        <v>5700</v>
      </c>
      <c r="Z10" s="30" t="n">
        <f aca="false">Z9*Premissas!$C$17</f>
        <v>6000</v>
      </c>
      <c r="AA10" s="31" t="n">
        <f aca="false">SUM(C10:Z10)</f>
        <v>64500</v>
      </c>
    </row>
    <row r="11" customFormat="false" ht="15" hidden="false" customHeight="false" outlineLevel="0" collapsed="false">
      <c r="B11" s="18" t="s">
        <v>131</v>
      </c>
      <c r="C11" s="30" t="n">
        <f aca="false">'Receita e Clientes'!C6*Premissas!$C$18</f>
        <v>0</v>
      </c>
      <c r="D11" s="30" t="n">
        <f aca="false">'Receita e Clientes'!D6*Premissas!$C$18</f>
        <v>0</v>
      </c>
      <c r="E11" s="30" t="n">
        <f aca="false">'Receita e Clientes'!E6*Premissas!$C$18</f>
        <v>0</v>
      </c>
      <c r="F11" s="30" t="n">
        <f aca="false">'Receita e Clientes'!F6*Premissas!$C$18</f>
        <v>1125</v>
      </c>
      <c r="G11" s="30" t="n">
        <f aca="false">'Receita e Clientes'!G6*Premissas!$C$18</f>
        <v>1875</v>
      </c>
      <c r="H11" s="30" t="n">
        <f aca="false">'Receita e Clientes'!H6*Premissas!$C$18</f>
        <v>2250</v>
      </c>
      <c r="I11" s="30" t="n">
        <f aca="false">'Receita e Clientes'!I6*Premissas!$C$18</f>
        <v>2625</v>
      </c>
      <c r="J11" s="30" t="n">
        <f aca="false">'Receita e Clientes'!J6*Premissas!$C$18</f>
        <v>3375</v>
      </c>
      <c r="K11" s="30" t="n">
        <f aca="false">'Receita e Clientes'!K6*Premissas!$C$18</f>
        <v>3750</v>
      </c>
      <c r="L11" s="30" t="n">
        <f aca="false">'Receita e Clientes'!L6*Premissas!$C$18</f>
        <v>4500</v>
      </c>
      <c r="M11" s="30" t="n">
        <f aca="false">'Receita e Clientes'!M6*Premissas!$C$18</f>
        <v>5250</v>
      </c>
      <c r="N11" s="30" t="n">
        <f aca="false">'Receita e Clientes'!N6*Premissas!$C$18</f>
        <v>6000</v>
      </c>
      <c r="O11" s="30" t="n">
        <f aca="false">'Receita e Clientes'!O6*Premissas!$C$18</f>
        <v>6750</v>
      </c>
      <c r="P11" s="30" t="n">
        <f aca="false">'Receita e Clientes'!P6*Premissas!$C$18</f>
        <v>7500</v>
      </c>
      <c r="Q11" s="30" t="n">
        <f aca="false">'Receita e Clientes'!Q6*Premissas!$C$18</f>
        <v>8250</v>
      </c>
      <c r="R11" s="30" t="n">
        <f aca="false">'Receita e Clientes'!R6*Premissas!$C$18</f>
        <v>9000</v>
      </c>
      <c r="S11" s="30" t="n">
        <f aca="false">'Receita e Clientes'!S6*Premissas!$C$18</f>
        <v>9750</v>
      </c>
      <c r="T11" s="30" t="n">
        <f aca="false">'Receita e Clientes'!T6*Premissas!$C$18</f>
        <v>10500</v>
      </c>
      <c r="U11" s="30" t="n">
        <f aca="false">'Receita e Clientes'!U6*Premissas!$C$18</f>
        <v>11250</v>
      </c>
      <c r="V11" s="30" t="n">
        <f aca="false">'Receita e Clientes'!V6*Premissas!$C$18</f>
        <v>12000</v>
      </c>
      <c r="W11" s="30" t="n">
        <f aca="false">'Receita e Clientes'!W6*Premissas!$C$18</f>
        <v>12750</v>
      </c>
      <c r="X11" s="30" t="n">
        <f aca="false">'Receita e Clientes'!X6*Premissas!$C$18</f>
        <v>13500</v>
      </c>
      <c r="Y11" s="30" t="n">
        <f aca="false">'Receita e Clientes'!Y6*Premissas!$C$18</f>
        <v>14250</v>
      </c>
      <c r="Z11" s="30" t="n">
        <f aca="false">'Receita e Clientes'!Z6*Premissas!$C$18</f>
        <v>15000</v>
      </c>
      <c r="AA11" s="31" t="n">
        <f aca="false">SUM(C11:Z11)</f>
        <v>161250</v>
      </c>
    </row>
    <row r="12" customFormat="false" ht="15" hidden="false" customHeight="false" outlineLevel="0" collapsed="false">
      <c r="B12" s="27" t="s">
        <v>132</v>
      </c>
      <c r="C12" s="28" t="n">
        <f aca="false">C6+C8+C10+C11</f>
        <v>2500</v>
      </c>
      <c r="D12" s="28" t="n">
        <f aca="false">D6+D8+D10+D11</f>
        <v>2500</v>
      </c>
      <c r="E12" s="28" t="n">
        <f aca="false">E6+E8+E10+E11</f>
        <v>2500</v>
      </c>
      <c r="F12" s="28" t="n">
        <f aca="false">F6+F8+F10+F11</f>
        <v>8575</v>
      </c>
      <c r="G12" s="28" t="n">
        <f aca="false">G6+G8+G10+G11</f>
        <v>15625</v>
      </c>
      <c r="H12" s="28" t="n">
        <f aca="false">H6+H8+H10+H11</f>
        <v>13150</v>
      </c>
      <c r="I12" s="28" t="n">
        <f aca="false">I6+I8+I10+I11</f>
        <v>13675</v>
      </c>
      <c r="J12" s="28" t="n">
        <f aca="false">J6+J8+J10+J11</f>
        <v>17725</v>
      </c>
      <c r="K12" s="28" t="n">
        <f aca="false">K6+K8+K10+K11</f>
        <v>15250</v>
      </c>
      <c r="L12" s="28" t="n">
        <f aca="false">L6+L8+L10+L11</f>
        <v>26300</v>
      </c>
      <c r="M12" s="28" t="n">
        <f aca="false">M6+M8+M10+M11</f>
        <v>27350</v>
      </c>
      <c r="N12" s="28" t="n">
        <f aca="false">N6+N8+N10+N11</f>
        <v>28400</v>
      </c>
      <c r="O12" s="28" t="n">
        <f aca="false">O6+O8+O10+O11</f>
        <v>29450</v>
      </c>
      <c r="P12" s="28" t="n">
        <f aca="false">P6+P8+P10+P11</f>
        <v>30500</v>
      </c>
      <c r="Q12" s="28" t="n">
        <f aca="false">Q6+Q8+Q10+Q11</f>
        <v>31550</v>
      </c>
      <c r="R12" s="28" t="n">
        <f aca="false">R6+R8+R10+R11</f>
        <v>32600</v>
      </c>
      <c r="S12" s="28" t="n">
        <f aca="false">S6+S8+S10+S11</f>
        <v>33650</v>
      </c>
      <c r="T12" s="28" t="n">
        <f aca="false">T6+T8+T10+T11</f>
        <v>34700</v>
      </c>
      <c r="U12" s="28" t="n">
        <f aca="false">U6+U8+U10+U11</f>
        <v>40750</v>
      </c>
      <c r="V12" s="28" t="n">
        <f aca="false">V6+V8+V10+V11</f>
        <v>41800</v>
      </c>
      <c r="W12" s="28" t="n">
        <f aca="false">W6+W8+W10+W11</f>
        <v>42850</v>
      </c>
      <c r="X12" s="28" t="n">
        <f aca="false">X6+X8+X10+X11</f>
        <v>43900</v>
      </c>
      <c r="Y12" s="28" t="n">
        <f aca="false">Y6+Y8+Y10+Y11</f>
        <v>44950</v>
      </c>
      <c r="Z12" s="28" t="n">
        <f aca="false">Z6+Z8+Z10+Z11</f>
        <v>46000</v>
      </c>
      <c r="AA12" s="29" t="n">
        <f aca="false">SUM(C12:Z12)</f>
        <v>626250</v>
      </c>
    </row>
  </sheetData>
  <mergeCells count="2">
    <mergeCell ref="A1:AA1"/>
    <mergeCell ref="A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26" min="3" style="0" width="9"/>
    <col collapsed="false" customWidth="true" hidden="false" outlineLevel="0" max="27" min="27" style="0" width="12"/>
    <col collapsed="false" customWidth="true" hidden="false" outlineLevel="0" max="28" min="28" style="0" width="3"/>
  </cols>
  <sheetData>
    <row r="1" customFormat="false" ht="25.5" hidden="false" customHeight="true" outlineLevel="0" collapsed="false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.75" hidden="false" customHeight="true" outlineLevel="0" collapsed="false">
      <c r="A2" s="2" t="s">
        <v>134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15.75" hidden="false" customHeight="true" outlineLevel="0" collapsed="false">
      <c r="B4" s="16" t="s">
        <v>67</v>
      </c>
      <c r="C4" s="17" t="s">
        <v>68</v>
      </c>
      <c r="D4" s="17" t="s">
        <v>69</v>
      </c>
      <c r="E4" s="17" t="s">
        <v>70</v>
      </c>
      <c r="F4" s="17" t="s">
        <v>71</v>
      </c>
      <c r="G4" s="17" t="s">
        <v>72</v>
      </c>
      <c r="H4" s="17" t="s">
        <v>73</v>
      </c>
      <c r="I4" s="17" t="s">
        <v>74</v>
      </c>
      <c r="J4" s="17" t="s">
        <v>75</v>
      </c>
      <c r="K4" s="17" t="s">
        <v>76</v>
      </c>
      <c r="L4" s="17" t="s">
        <v>77</v>
      </c>
      <c r="M4" s="17" t="s">
        <v>78</v>
      </c>
      <c r="N4" s="17" t="s">
        <v>79</v>
      </c>
      <c r="O4" s="17" t="s">
        <v>80</v>
      </c>
      <c r="P4" s="17" t="s">
        <v>81</v>
      </c>
      <c r="Q4" s="17" t="s">
        <v>82</v>
      </c>
      <c r="R4" s="17" t="s">
        <v>83</v>
      </c>
      <c r="S4" s="17" t="s">
        <v>84</v>
      </c>
      <c r="T4" s="17" t="s">
        <v>85</v>
      </c>
      <c r="U4" s="17" t="s">
        <v>86</v>
      </c>
      <c r="V4" s="17" t="s">
        <v>87</v>
      </c>
      <c r="W4" s="17" t="s">
        <v>88</v>
      </c>
      <c r="X4" s="17" t="s">
        <v>89</v>
      </c>
      <c r="Y4" s="17" t="s">
        <v>90</v>
      </c>
      <c r="Z4" s="17" t="s">
        <v>91</v>
      </c>
      <c r="AA4" s="16" t="s">
        <v>92</v>
      </c>
    </row>
    <row r="5" customFormat="false" ht="15" hidden="false" customHeight="false" outlineLevel="0" collapsed="false">
      <c r="B5" s="18" t="s">
        <v>135</v>
      </c>
      <c r="C5" s="33" t="n">
        <f aca="false">'Receita e Clientes'!C6</f>
        <v>0</v>
      </c>
      <c r="D5" s="33" t="n">
        <f aca="false">'Receita e Clientes'!D6</f>
        <v>0</v>
      </c>
      <c r="E5" s="33" t="n">
        <f aca="false">'Receita e Clientes'!E6</f>
        <v>0</v>
      </c>
      <c r="F5" s="33" t="n">
        <f aca="false">'Receita e Clientes'!F6</f>
        <v>22500</v>
      </c>
      <c r="G5" s="33" t="n">
        <f aca="false">'Receita e Clientes'!G6</f>
        <v>37500</v>
      </c>
      <c r="H5" s="33" t="n">
        <f aca="false">'Receita e Clientes'!H6</f>
        <v>45000</v>
      </c>
      <c r="I5" s="33" t="n">
        <f aca="false">'Receita e Clientes'!I6</f>
        <v>52500</v>
      </c>
      <c r="J5" s="33" t="n">
        <f aca="false">'Receita e Clientes'!J6</f>
        <v>67500</v>
      </c>
      <c r="K5" s="33" t="n">
        <f aca="false">'Receita e Clientes'!K6</f>
        <v>75000</v>
      </c>
      <c r="L5" s="33" t="n">
        <f aca="false">'Receita e Clientes'!L6</f>
        <v>90000</v>
      </c>
      <c r="M5" s="33" t="n">
        <f aca="false">'Receita e Clientes'!M6</f>
        <v>105000</v>
      </c>
      <c r="N5" s="33" t="n">
        <f aca="false">'Receita e Clientes'!N6</f>
        <v>120000</v>
      </c>
      <c r="O5" s="33" t="n">
        <f aca="false">'Receita e Clientes'!O6</f>
        <v>135000</v>
      </c>
      <c r="P5" s="33" t="n">
        <f aca="false">'Receita e Clientes'!P6</f>
        <v>150000</v>
      </c>
      <c r="Q5" s="33" t="n">
        <f aca="false">'Receita e Clientes'!Q6</f>
        <v>165000</v>
      </c>
      <c r="R5" s="33" t="n">
        <f aca="false">'Receita e Clientes'!R6</f>
        <v>180000</v>
      </c>
      <c r="S5" s="33" t="n">
        <f aca="false">'Receita e Clientes'!S6</f>
        <v>195000</v>
      </c>
      <c r="T5" s="33" t="n">
        <f aca="false">'Receita e Clientes'!T6</f>
        <v>210000</v>
      </c>
      <c r="U5" s="33" t="n">
        <f aca="false">'Receita e Clientes'!U6</f>
        <v>225000</v>
      </c>
      <c r="V5" s="33" t="n">
        <f aca="false">'Receita e Clientes'!V6</f>
        <v>240000</v>
      </c>
      <c r="W5" s="33" t="n">
        <f aca="false">'Receita e Clientes'!W6</f>
        <v>255000</v>
      </c>
      <c r="X5" s="33" t="n">
        <f aca="false">'Receita e Clientes'!X6</f>
        <v>270000</v>
      </c>
      <c r="Y5" s="33" t="n">
        <f aca="false">'Receita e Clientes'!Y6</f>
        <v>285000</v>
      </c>
      <c r="Z5" s="33" t="n">
        <f aca="false">'Receita e Clientes'!Z6</f>
        <v>300000</v>
      </c>
      <c r="AA5" s="31" t="n">
        <f aca="false">SUM(C5:Z5)</f>
        <v>3225000</v>
      </c>
    </row>
    <row r="6" customFormat="false" ht="15" hidden="false" customHeight="false" outlineLevel="0" collapsed="false">
      <c r="B6" s="18" t="s">
        <v>136</v>
      </c>
      <c r="C6" s="33" t="n">
        <f aca="false">'Custos Mensais'!C12</f>
        <v>2500</v>
      </c>
      <c r="D6" s="33" t="n">
        <f aca="false">'Custos Mensais'!D12</f>
        <v>2500</v>
      </c>
      <c r="E6" s="33" t="n">
        <f aca="false">'Custos Mensais'!E12</f>
        <v>2500</v>
      </c>
      <c r="F6" s="33" t="n">
        <f aca="false">'Custos Mensais'!F12</f>
        <v>8575</v>
      </c>
      <c r="G6" s="33" t="n">
        <f aca="false">'Custos Mensais'!G12</f>
        <v>15625</v>
      </c>
      <c r="H6" s="33" t="n">
        <f aca="false">'Custos Mensais'!H12</f>
        <v>13150</v>
      </c>
      <c r="I6" s="33" t="n">
        <f aca="false">'Custos Mensais'!I12</f>
        <v>13675</v>
      </c>
      <c r="J6" s="33" t="n">
        <f aca="false">'Custos Mensais'!J12</f>
        <v>17725</v>
      </c>
      <c r="K6" s="33" t="n">
        <f aca="false">'Custos Mensais'!K12</f>
        <v>15250</v>
      </c>
      <c r="L6" s="33" t="n">
        <f aca="false">'Custos Mensais'!L12</f>
        <v>26300</v>
      </c>
      <c r="M6" s="33" t="n">
        <f aca="false">'Custos Mensais'!M12</f>
        <v>27350</v>
      </c>
      <c r="N6" s="33" t="n">
        <f aca="false">'Custos Mensais'!N12</f>
        <v>28400</v>
      </c>
      <c r="O6" s="33" t="n">
        <f aca="false">'Custos Mensais'!O12</f>
        <v>29450</v>
      </c>
      <c r="P6" s="33" t="n">
        <f aca="false">'Custos Mensais'!P12</f>
        <v>30500</v>
      </c>
      <c r="Q6" s="33" t="n">
        <f aca="false">'Custos Mensais'!Q12</f>
        <v>31550</v>
      </c>
      <c r="R6" s="33" t="n">
        <f aca="false">'Custos Mensais'!R12</f>
        <v>32600</v>
      </c>
      <c r="S6" s="33" t="n">
        <f aca="false">'Custos Mensais'!S12</f>
        <v>33650</v>
      </c>
      <c r="T6" s="33" t="n">
        <f aca="false">'Custos Mensais'!T12</f>
        <v>34700</v>
      </c>
      <c r="U6" s="33" t="n">
        <f aca="false">'Custos Mensais'!U12</f>
        <v>40750</v>
      </c>
      <c r="V6" s="33" t="n">
        <f aca="false">'Custos Mensais'!V12</f>
        <v>41800</v>
      </c>
      <c r="W6" s="33" t="n">
        <f aca="false">'Custos Mensais'!W12</f>
        <v>42850</v>
      </c>
      <c r="X6" s="33" t="n">
        <f aca="false">'Custos Mensais'!X12</f>
        <v>43900</v>
      </c>
      <c r="Y6" s="33" t="n">
        <f aca="false">'Custos Mensais'!Y12</f>
        <v>44950</v>
      </c>
      <c r="Z6" s="33" t="n">
        <f aca="false">'Custos Mensais'!Z12</f>
        <v>46000</v>
      </c>
      <c r="AA6" s="31" t="n">
        <f aca="false">SUM(C6:Z6)</f>
        <v>626250</v>
      </c>
    </row>
    <row r="7" customFormat="false" ht="15" hidden="false" customHeight="false" outlineLevel="0" collapsed="false">
      <c r="B7" s="27" t="s">
        <v>137</v>
      </c>
      <c r="C7" s="28" t="n">
        <f aca="false">C5-C6</f>
        <v>-2500</v>
      </c>
      <c r="D7" s="28" t="n">
        <f aca="false">D5-D6</f>
        <v>-2500</v>
      </c>
      <c r="E7" s="28" t="n">
        <f aca="false">E5-E6</f>
        <v>-2500</v>
      </c>
      <c r="F7" s="28" t="n">
        <f aca="false">F5-F6</f>
        <v>13925</v>
      </c>
      <c r="G7" s="28" t="n">
        <f aca="false">G5-G6</f>
        <v>21875</v>
      </c>
      <c r="H7" s="28" t="n">
        <f aca="false">H5-H6</f>
        <v>31850</v>
      </c>
      <c r="I7" s="28" t="n">
        <f aca="false">I5-I6</f>
        <v>38825</v>
      </c>
      <c r="J7" s="28" t="n">
        <f aca="false">J5-J6</f>
        <v>49775</v>
      </c>
      <c r="K7" s="28" t="n">
        <f aca="false">K5-K6</f>
        <v>59750</v>
      </c>
      <c r="L7" s="28" t="n">
        <f aca="false">L5-L6</f>
        <v>63700</v>
      </c>
      <c r="M7" s="28" t="n">
        <f aca="false">M5-M6</f>
        <v>77650</v>
      </c>
      <c r="N7" s="28" t="n">
        <f aca="false">N5-N6</f>
        <v>91600</v>
      </c>
      <c r="O7" s="28" t="n">
        <f aca="false">O5-O6</f>
        <v>105550</v>
      </c>
      <c r="P7" s="28" t="n">
        <f aca="false">P5-P6</f>
        <v>119500</v>
      </c>
      <c r="Q7" s="28" t="n">
        <f aca="false">Q5-Q6</f>
        <v>133450</v>
      </c>
      <c r="R7" s="28" t="n">
        <f aca="false">R5-R6</f>
        <v>147400</v>
      </c>
      <c r="S7" s="28" t="n">
        <f aca="false">S5-S6</f>
        <v>161350</v>
      </c>
      <c r="T7" s="28" t="n">
        <f aca="false">T5-T6</f>
        <v>175300</v>
      </c>
      <c r="U7" s="28" t="n">
        <f aca="false">U5-U6</f>
        <v>184250</v>
      </c>
      <c r="V7" s="28" t="n">
        <f aca="false">V5-V6</f>
        <v>198200</v>
      </c>
      <c r="W7" s="28" t="n">
        <f aca="false">W5-W6</f>
        <v>212150</v>
      </c>
      <c r="X7" s="28" t="n">
        <f aca="false">X5-X6</f>
        <v>226100</v>
      </c>
      <c r="Y7" s="28" t="n">
        <f aca="false">Y5-Y6</f>
        <v>240050</v>
      </c>
      <c r="Z7" s="28" t="n">
        <f aca="false">Z5-Z6</f>
        <v>254000</v>
      </c>
      <c r="AA7" s="29" t="n">
        <f aca="false">SUM(C7:Z7)</f>
        <v>2598750</v>
      </c>
    </row>
    <row r="8" customFormat="false" ht="15" hidden="false" customHeight="false" outlineLevel="0" collapsed="false">
      <c r="B8" s="27" t="s">
        <v>138</v>
      </c>
      <c r="C8" s="40" t="n">
        <f aca="false">C7</f>
        <v>-2500</v>
      </c>
      <c r="D8" s="40" t="n">
        <f aca="false">C8+D7</f>
        <v>-5000</v>
      </c>
      <c r="E8" s="40" t="n">
        <f aca="false">D8+E7</f>
        <v>-7500</v>
      </c>
      <c r="F8" s="40" t="n">
        <f aca="false">E8+F7</f>
        <v>6425</v>
      </c>
      <c r="G8" s="40" t="n">
        <f aca="false">F8+G7</f>
        <v>28300</v>
      </c>
      <c r="H8" s="40" t="n">
        <f aca="false">G8+H7</f>
        <v>60150</v>
      </c>
      <c r="I8" s="40" t="n">
        <f aca="false">H8+I7</f>
        <v>98975</v>
      </c>
      <c r="J8" s="40" t="n">
        <f aca="false">I8+J7</f>
        <v>148750</v>
      </c>
      <c r="K8" s="40" t="n">
        <f aca="false">J8+K7</f>
        <v>208500</v>
      </c>
      <c r="L8" s="40" t="n">
        <f aca="false">K8+L7</f>
        <v>272200</v>
      </c>
      <c r="M8" s="40" t="n">
        <f aca="false">L8+M7</f>
        <v>349850</v>
      </c>
      <c r="N8" s="40" t="n">
        <f aca="false">M8+N7</f>
        <v>441450</v>
      </c>
      <c r="O8" s="40" t="n">
        <f aca="false">N8+O7</f>
        <v>547000</v>
      </c>
      <c r="P8" s="40" t="n">
        <f aca="false">O8+P7</f>
        <v>666500</v>
      </c>
      <c r="Q8" s="40" t="n">
        <f aca="false">P8+Q7</f>
        <v>799950</v>
      </c>
      <c r="R8" s="40" t="n">
        <f aca="false">Q8+R7</f>
        <v>947350</v>
      </c>
      <c r="S8" s="40" t="n">
        <f aca="false">R8+S7</f>
        <v>1108700</v>
      </c>
      <c r="T8" s="40" t="n">
        <f aca="false">S8+T7</f>
        <v>1284000</v>
      </c>
      <c r="U8" s="40" t="n">
        <f aca="false">T8+U7</f>
        <v>1468250</v>
      </c>
      <c r="V8" s="40" t="n">
        <f aca="false">U8+V7</f>
        <v>1666450</v>
      </c>
      <c r="W8" s="40" t="n">
        <f aca="false">V8+W7</f>
        <v>1878600</v>
      </c>
      <c r="X8" s="40" t="n">
        <f aca="false">W8+X7</f>
        <v>2104700</v>
      </c>
      <c r="Y8" s="40" t="n">
        <f aca="false">X8+Y7</f>
        <v>2344750</v>
      </c>
      <c r="Z8" s="40" t="n">
        <f aca="false">Y8+Z7</f>
        <v>2598750</v>
      </c>
      <c r="AA8" s="24" t="n">
        <f aca="false">Z8</f>
        <v>2598750</v>
      </c>
    </row>
    <row r="10" customFormat="false" ht="15" hidden="false" customHeight="false" outlineLevel="0" collapsed="false">
      <c r="B10" s="27" t="s">
        <v>139</v>
      </c>
      <c r="E10" s="41" t="n">
        <f aca="false">-MIN(C8:Z8)</f>
        <v>7500</v>
      </c>
      <c r="F10" s="36" t="s">
        <v>140</v>
      </c>
    </row>
    <row r="11" customFormat="false" ht="15" hidden="false" customHeight="false" outlineLevel="0" collapsed="false">
      <c r="B11" s="27" t="s">
        <v>141</v>
      </c>
      <c r="E11" s="27" t="n">
        <f aca="false">IFERROR(MATCH(TRUE(),INDEX(C8:Z8&gt;=0,0),0),"Não atingido em 24 meses")</f>
        <v>4</v>
      </c>
      <c r="F11" s="36" t="s">
        <v>142</v>
      </c>
    </row>
  </sheetData>
  <mergeCells count="2">
    <mergeCell ref="A1:AA1"/>
    <mergeCell ref="A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5" min="3" style="0" width="18"/>
    <col collapsed="false" customWidth="true" hidden="false" outlineLevel="0" max="6" min="6" style="0" width="4"/>
    <col collapsed="false" customWidth="true" hidden="false" outlineLevel="0" max="7" min="7" style="0" width="60"/>
    <col collapsed="false" customWidth="true" hidden="false" outlineLevel="0" max="8" min="8" style="0" width="3"/>
  </cols>
  <sheetData>
    <row r="1" customFormat="false" ht="25.5" hidden="false" customHeight="true" outlineLevel="0" collapsed="false">
      <c r="A1" s="1" t="s">
        <v>143</v>
      </c>
      <c r="B1" s="1"/>
      <c r="C1" s="1"/>
      <c r="D1" s="1"/>
      <c r="E1" s="1"/>
    </row>
    <row r="2" customFormat="false" ht="15.75" hidden="false" customHeight="true" outlineLevel="0" collapsed="false">
      <c r="A2" s="2" t="s">
        <v>144</v>
      </c>
      <c r="B2" s="2"/>
      <c r="C2" s="2"/>
      <c r="D2" s="2"/>
      <c r="E2" s="2"/>
    </row>
    <row r="4" customFormat="false" ht="27.75" hidden="false" customHeight="true" outlineLevel="0" collapsed="false">
      <c r="B4" s="35" t="s">
        <v>145</v>
      </c>
      <c r="C4" s="35" t="s">
        <v>146</v>
      </c>
      <c r="D4" s="35" t="s">
        <v>147</v>
      </c>
      <c r="E4" s="35" t="s">
        <v>148</v>
      </c>
    </row>
    <row r="5" customFormat="false" ht="15" hidden="false" customHeight="false" outlineLevel="0" collapsed="false">
      <c r="B5" s="27" t="s">
        <v>149</v>
      </c>
      <c r="C5" s="28" t="n">
        <f aca="false">SUM('DRE Mensal'!C5:N5)</f>
        <v>615000</v>
      </c>
      <c r="D5" s="28" t="n">
        <f aca="false">SUM('DRE Mensal'!C6:N6)</f>
        <v>173550</v>
      </c>
      <c r="E5" s="28" t="n">
        <f aca="false">C5-D5</f>
        <v>441450</v>
      </c>
    </row>
    <row r="6" customFormat="false" ht="15" hidden="false" customHeight="false" outlineLevel="0" collapsed="false">
      <c r="B6" s="27" t="s">
        <v>150</v>
      </c>
      <c r="C6" s="28" t="n">
        <f aca="false">SUM('DRE Mensal'!O5:Z5)</f>
        <v>2610000</v>
      </c>
      <c r="D6" s="28" t="n">
        <f aca="false">SUM('DRE Mensal'!O6:Z6)</f>
        <v>452700</v>
      </c>
      <c r="E6" s="28" t="n">
        <f aca="false">C6-D6</f>
        <v>2157300</v>
      </c>
    </row>
    <row r="7" customFormat="false" ht="15" hidden="false" customHeight="false" outlineLevel="0" collapsed="false">
      <c r="B7" s="27" t="s">
        <v>151</v>
      </c>
      <c r="C7" s="28" t="n">
        <f aca="false">SUM('DRE Mensal'!C5:Z5)</f>
        <v>3225000</v>
      </c>
      <c r="D7" s="28" t="n">
        <f aca="false">SUM('DRE Mensal'!C6:Z6)</f>
        <v>626250</v>
      </c>
      <c r="E7" s="28" t="n">
        <f aca="false">C7-D7</f>
        <v>2598750</v>
      </c>
    </row>
    <row r="9" customFormat="false" ht="15" hidden="false" customHeight="false" outlineLevel="0" collapsed="false">
      <c r="B9" s="42" t="s">
        <v>152</v>
      </c>
    </row>
    <row r="10" customFormat="false" ht="15" hidden="false" customHeight="false" outlineLevel="0" collapsed="false">
      <c r="B10" s="16" t="s">
        <v>153</v>
      </c>
      <c r="C10" s="16" t="s">
        <v>15</v>
      </c>
      <c r="G10" s="16" t="s">
        <v>154</v>
      </c>
    </row>
    <row r="11" customFormat="false" ht="25.5" hidden="false" customHeight="true" outlineLevel="0" collapsed="false">
      <c r="B11" s="18" t="s">
        <v>155</v>
      </c>
      <c r="C11" s="43" t="n">
        <f aca="false">'Receita e Clientes'!Z7</f>
        <v>3600000</v>
      </c>
      <c r="G11" s="44" t="s">
        <v>156</v>
      </c>
    </row>
    <row r="12" customFormat="false" ht="25.5" hidden="false" customHeight="true" outlineLevel="0" collapsed="false">
      <c r="B12" s="18" t="s">
        <v>139</v>
      </c>
      <c r="C12" s="43" t="n">
        <f aca="false">'DRE Mensal'!E10</f>
        <v>7500</v>
      </c>
      <c r="G12" s="44" t="s">
        <v>157</v>
      </c>
    </row>
    <row r="13" customFormat="false" ht="25.5" hidden="false" customHeight="true" outlineLevel="0" collapsed="false">
      <c r="B13" s="18" t="s">
        <v>158</v>
      </c>
      <c r="C13" s="45" t="n">
        <f aca="false">'DRE Mensal'!E11</f>
        <v>4</v>
      </c>
      <c r="G13" s="44" t="s">
        <v>159</v>
      </c>
    </row>
    <row r="14" customFormat="false" ht="25.5" hidden="false" customHeight="true" outlineLevel="0" collapsed="false">
      <c r="B14" s="18" t="s">
        <v>160</v>
      </c>
      <c r="C14" s="43" t="n">
        <f aca="false">'Receita e Clientes'!Z5</f>
        <v>40</v>
      </c>
      <c r="G14" s="44" t="s">
        <v>161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4"/>
    <col collapsed="false" customWidth="true" hidden="false" outlineLevel="0" max="4" min="3" style="0" width="16"/>
    <col collapsed="false" customWidth="true" hidden="false" outlineLevel="0" max="5" min="5" style="0" width="55"/>
    <col collapsed="false" customWidth="true" hidden="false" outlineLevel="0" max="6" min="6" style="0" width="3"/>
  </cols>
  <sheetData>
    <row r="1" customFormat="false" ht="25.5" hidden="false" customHeight="true" outlineLevel="0" collapsed="false">
      <c r="A1" s="1" t="s">
        <v>162</v>
      </c>
      <c r="B1" s="1"/>
      <c r="C1" s="1"/>
      <c r="D1" s="1"/>
    </row>
    <row r="2" customFormat="false" ht="15.75" hidden="false" customHeight="true" outlineLevel="0" collapsed="false">
      <c r="A2" s="2" t="s">
        <v>163</v>
      </c>
      <c r="B2" s="2"/>
      <c r="C2" s="2"/>
      <c r="D2" s="2"/>
    </row>
    <row r="4" customFormat="false" ht="27.75" hidden="false" customHeight="true" outlineLevel="0" collapsed="false">
      <c r="B4" s="35" t="s">
        <v>164</v>
      </c>
      <c r="C4" s="35" t="s">
        <v>165</v>
      </c>
      <c r="D4" s="35" t="s">
        <v>166</v>
      </c>
    </row>
    <row r="5" customFormat="false" ht="15" hidden="false" customHeight="false" outlineLevel="0" collapsed="false">
      <c r="B5" s="18" t="s">
        <v>167</v>
      </c>
      <c r="C5" s="23" t="n">
        <v>100</v>
      </c>
      <c r="D5" s="46" t="n">
        <f aca="false">Premissas!$C$10</f>
        <v>0.2</v>
      </c>
    </row>
    <row r="6" customFormat="false" ht="15" hidden="false" customHeight="false" outlineLevel="0" collapsed="false">
      <c r="B6" s="18" t="s">
        <v>168</v>
      </c>
      <c r="C6" s="30" t="n">
        <f aca="false">ROUND(C5*D5,0)</f>
        <v>20</v>
      </c>
      <c r="D6" s="46" t="n">
        <f aca="false">Premissas!$C$11</f>
        <v>0.4</v>
      </c>
    </row>
    <row r="7" customFormat="false" ht="15" hidden="false" customHeight="false" outlineLevel="0" collapsed="false">
      <c r="B7" s="18" t="s">
        <v>169</v>
      </c>
      <c r="C7" s="30" t="n">
        <f aca="false">ROUND(C6*D6,0)</f>
        <v>8</v>
      </c>
      <c r="D7" s="46" t="n">
        <f aca="false">Premissas!$C$12</f>
        <v>0.5</v>
      </c>
    </row>
    <row r="8" customFormat="false" ht="15" hidden="false" customHeight="false" outlineLevel="0" collapsed="false">
      <c r="B8" s="18" t="s">
        <v>170</v>
      </c>
      <c r="C8" s="30" t="n">
        <f aca="false">ROUND(C7*D7,0)</f>
        <v>4</v>
      </c>
      <c r="D8" s="46" t="n">
        <f aca="false">Premissas!$C$13</f>
        <v>0.5</v>
      </c>
    </row>
    <row r="9" customFormat="false" ht="15" hidden="false" customHeight="false" outlineLevel="0" collapsed="false">
      <c r="B9" s="18" t="s">
        <v>171</v>
      </c>
      <c r="C9" s="30" t="n">
        <f aca="false">ROUND(C8*D8,0)</f>
        <v>2</v>
      </c>
      <c r="D9" s="47" t="s">
        <v>119</v>
      </c>
    </row>
    <row r="11" customFormat="false" ht="15" hidden="false" customHeight="false" outlineLevel="0" collapsed="false">
      <c r="B11" s="27" t="s">
        <v>172</v>
      </c>
      <c r="C11" s="48" t="n">
        <f aca="false">C9/C5</f>
        <v>0.02</v>
      </c>
    </row>
    <row r="13" customFormat="false" ht="15" hidden="false" customHeight="false" outlineLevel="0" collapsed="false">
      <c r="B13" s="42" t="s">
        <v>173</v>
      </c>
    </row>
    <row r="14" customFormat="false" ht="15" hidden="false" customHeight="false" outlineLevel="0" collapsed="false">
      <c r="B14" s="16" t="s">
        <v>94</v>
      </c>
      <c r="C14" s="16" t="s">
        <v>145</v>
      </c>
      <c r="D14" s="16" t="s">
        <v>174</v>
      </c>
    </row>
    <row r="15" customFormat="false" ht="15" hidden="false" customHeight="false" outlineLevel="0" collapsed="false">
      <c r="B15" s="18" t="s">
        <v>175</v>
      </c>
      <c r="C15" s="19" t="s">
        <v>176</v>
      </c>
      <c r="D15" s="49" t="str">
        <f aca="false">Premissas!C25&amp;" empresas parceiras, sem cobrança"</f>
        <v>3 empresas parceiras, sem cobrança</v>
      </c>
      <c r="E15" s="49"/>
    </row>
    <row r="16" customFormat="false" ht="15" hidden="false" customHeight="false" outlineLevel="0" collapsed="false">
      <c r="B16" s="18" t="s">
        <v>177</v>
      </c>
      <c r="C16" s="19" t="s">
        <v>178</v>
      </c>
      <c r="D16" s="49" t="str">
        <f aca="false">"Meta de 10 clientes pagantes (veja mês 9 na aba Receita e Clientes)"</f>
        <v>Meta de 10 clientes pagantes (veja mês 9 na aba Receita e Clientes)</v>
      </c>
      <c r="E16" s="49"/>
    </row>
    <row r="17" customFormat="false" ht="15" hidden="false" customHeight="false" outlineLevel="0" collapsed="false">
      <c r="B17" s="18" t="s">
        <v>179</v>
      </c>
      <c r="C17" s="19" t="s">
        <v>180</v>
      </c>
      <c r="D17" s="49" t="str">
        <f aca="false">"Meta acumulada de "&amp;Premissas!C28&amp;" clientes (= SOM, Seção 5)"</f>
        <v>Meta acumulada de 40 clientes (= SOM, Seção 5)</v>
      </c>
      <c r="E17" s="49"/>
    </row>
  </sheetData>
  <mergeCells count="5">
    <mergeCell ref="A1:D1"/>
    <mergeCell ref="A2:D2"/>
    <mergeCell ref="D15:E15"/>
    <mergeCell ref="D16:E16"/>
    <mergeCell ref="D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44"/>
    <col collapsed="false" customWidth="true" hidden="false" outlineLevel="0" max="5" min="5" style="0" width="14"/>
    <col collapsed="false" customWidth="true" hidden="false" outlineLevel="0" max="6" min="6" style="0" width="3"/>
  </cols>
  <sheetData>
    <row r="1" customFormat="false" ht="25.5" hidden="false" customHeight="true" outlineLevel="0" collapsed="false">
      <c r="A1" s="1" t="s">
        <v>181</v>
      </c>
      <c r="B1" s="1"/>
      <c r="C1" s="1"/>
      <c r="D1" s="1"/>
    </row>
    <row r="2" customFormat="false" ht="15.75" hidden="false" customHeight="true" outlineLevel="0" collapsed="false">
      <c r="A2" s="2" t="s">
        <v>182</v>
      </c>
      <c r="B2" s="2"/>
      <c r="C2" s="2"/>
      <c r="D2" s="2"/>
    </row>
    <row r="4" customFormat="false" ht="19.5" hidden="false" customHeight="true" outlineLevel="0" collapsed="false">
      <c r="B4" s="35" t="s">
        <v>183</v>
      </c>
      <c r="C4" s="35" t="s">
        <v>184</v>
      </c>
      <c r="D4" s="35" t="s">
        <v>185</v>
      </c>
      <c r="E4" s="35" t="s">
        <v>186</v>
      </c>
    </row>
    <row r="5" customFormat="false" ht="30" hidden="false" customHeight="true" outlineLevel="0" collapsed="false">
      <c r="B5" s="50" t="s">
        <v>187</v>
      </c>
      <c r="C5" s="51" t="s">
        <v>188</v>
      </c>
      <c r="D5" s="51" t="s">
        <v>189</v>
      </c>
      <c r="E5" s="52" t="s">
        <v>190</v>
      </c>
    </row>
    <row r="6" customFormat="false" ht="30" hidden="false" customHeight="true" outlineLevel="0" collapsed="false">
      <c r="B6" s="50" t="s">
        <v>191</v>
      </c>
      <c r="C6" s="51" t="s">
        <v>192</v>
      </c>
      <c r="D6" s="51" t="s">
        <v>193</v>
      </c>
      <c r="E6" s="52" t="s">
        <v>190</v>
      </c>
    </row>
    <row r="7" customFormat="false" ht="30" hidden="false" customHeight="true" outlineLevel="0" collapsed="false">
      <c r="B7" s="50" t="s">
        <v>194</v>
      </c>
      <c r="C7" s="51" t="s">
        <v>195</v>
      </c>
      <c r="D7" s="51" t="s">
        <v>196</v>
      </c>
      <c r="E7" s="52" t="s">
        <v>197</v>
      </c>
    </row>
    <row r="8" customFormat="false" ht="30" hidden="false" customHeight="true" outlineLevel="0" collapsed="false">
      <c r="B8" s="50" t="s">
        <v>198</v>
      </c>
      <c r="C8" s="51" t="s">
        <v>199</v>
      </c>
      <c r="D8" s="51" t="s">
        <v>200</v>
      </c>
      <c r="E8" s="52" t="s">
        <v>201</v>
      </c>
    </row>
    <row r="9" customFormat="false" ht="30" hidden="false" customHeight="true" outlineLevel="0" collapsed="false">
      <c r="B9" s="50" t="s">
        <v>202</v>
      </c>
      <c r="C9" s="51" t="s">
        <v>203</v>
      </c>
      <c r="D9" s="51" t="s">
        <v>204</v>
      </c>
      <c r="E9" s="52" t="s">
        <v>205</v>
      </c>
    </row>
    <row r="11" customFormat="false" ht="15" hidden="false" customHeight="false" outlineLevel="0" collapsed="false">
      <c r="B11" s="42" t="s">
        <v>206</v>
      </c>
    </row>
    <row r="12" customFormat="false" ht="15" hidden="false" customHeight="false" outlineLevel="0" collapsed="false">
      <c r="B12" s="18" t="s">
        <v>207</v>
      </c>
      <c r="C12" s="53" t="s">
        <v>208</v>
      </c>
    </row>
    <row r="13" customFormat="false" ht="15" hidden="false" customHeight="false" outlineLevel="0" collapsed="false">
      <c r="B13" s="18" t="s">
        <v>209</v>
      </c>
      <c r="C13" s="53" t="s">
        <v>210</v>
      </c>
    </row>
    <row r="14" customFormat="false" ht="15" hidden="false" customHeight="false" outlineLevel="0" collapsed="false">
      <c r="B14" s="18" t="s">
        <v>211</v>
      </c>
      <c r="C14" s="53" t="s">
        <v>212</v>
      </c>
    </row>
    <row r="15" customFormat="false" ht="15" hidden="false" customHeight="false" outlineLevel="0" collapsed="false">
      <c r="B15" s="18" t="s">
        <v>213</v>
      </c>
      <c r="C15" s="53" t="s">
        <v>214</v>
      </c>
    </row>
    <row r="16" customFormat="false" ht="15" hidden="false" customHeight="false" outlineLevel="0" collapsed="false">
      <c r="B16" s="18" t="s">
        <v>215</v>
      </c>
      <c r="C16" s="53" t="s">
        <v>216</v>
      </c>
    </row>
    <row r="17" customFormat="false" ht="15" hidden="false" customHeight="false" outlineLevel="0" collapsed="false">
      <c r="B17" s="18" t="s">
        <v>217</v>
      </c>
      <c r="C17" s="53" t="s">
        <v>218</v>
      </c>
    </row>
    <row r="18" customFormat="false" ht="15" hidden="false" customHeight="false" outlineLevel="0" collapsed="false">
      <c r="B18" s="36" t="s">
        <v>186</v>
      </c>
      <c r="C18" s="36" t="s">
        <v>219</v>
      </c>
    </row>
    <row r="20" customFormat="false" ht="42" hidden="false" customHeight="true" outlineLevel="0" collapsed="false">
      <c r="B20" s="32" t="s">
        <v>220</v>
      </c>
      <c r="C20" s="32"/>
      <c r="D20" s="32"/>
      <c r="E20" s="32"/>
    </row>
  </sheetData>
  <mergeCells count="3">
    <mergeCell ref="A1:D1"/>
    <mergeCell ref="A2:D2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2026-10-01T23:27:24Z</dcterms:created>
  <dc:creator>openpyxl</dc:creator>
  <dc:description/>
  <dc:language>en-US</dc:language>
  <cp:lastModifiedBy/>
  <dcterms:modified xsi:type="dcterms:W3CDTF">2026-10-01T23:27:24Z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